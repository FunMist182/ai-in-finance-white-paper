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ver" sheetId="1" r:id="rId1"/>
    <sheet name="Assumptions" sheetId="2" r:id="rId2"/>
    <sheet name="Historical" sheetId="3" r:id="rId3"/>
    <sheet name="DCF" sheetId="4" r:id="rId4"/>
    <sheet name="Comps" sheetId="5" r:id="rId5"/>
    <sheet name="Scenarios" sheetId="6" r:id="rId6"/>
    <sheet name="Sensitivities" sheetId="7" r:id="rId7"/>
    <sheet name="AI Review" sheetId="8" r:id="rId8"/>
    <sheet name="Critical Review" sheetId="9" r:id="rId9"/>
    <sheet name="Checks" sheetId="10" r:id="rId10"/>
    <sheet name="Sources" sheetId="11" r:id="rId11"/>
  </sheets>
  <calcPr calcId="124519" fullCalcOnLoad="1"/>
</workbook>
</file>

<file path=xl/sharedStrings.xml><?xml version="1.0" encoding="utf-8"?>
<sst xmlns="http://schemas.openxmlformats.org/spreadsheetml/2006/main" count="735" uniqueCount="622">
  <si>
    <t>AI-Supported Corporate Valuation: LSEG and the Limits of Automated Financial Analysis</t>
  </si>
  <si>
    <t>FY2025. Valuation reference: 26 February 2026. Price/share proxy disclosed 27 February. GBP millions except per share.</t>
  </si>
  <si>
    <t>Valuation summary</t>
  </si>
  <si>
    <t>Method</t>
  </si>
  <si>
    <t>Implied value / share</t>
  </si>
  <si>
    <t>Reference price</t>
  </si>
  <si>
    <t>Upside / (downside)</t>
  </si>
  <si>
    <t>DCF — principal method</t>
  </si>
  <si>
    <t>Comparable companies — cross-check</t>
  </si>
  <si>
    <t>Weighted indication</t>
  </si>
  <si>
    <t>David's judgement</t>
  </si>
  <si>
    <t>Investment and transaction judgement</t>
  </si>
  <si>
    <t>Investment: the live judgement is a valuation signal rather than a direct trading recommendation. At ≥15% DCF upside it shows POSITIVE / WATCH; between -15% and +15% it shows NEUTRAL / WATCH; and at ≤-15% it shows NEGATIVE / AVOID. DCF is the principal method and comparables are a reasonableness check. The conclusion is assumption-sensitive and remains subject to execution, leverage, forecast, dilution and terminal-value risk.
Transaction: ATTRACTIVE STRATEGIC ASSET, PRICE-DISCIPLINED. A control premium is justified only with credible, quantified synergies; a highly levered acquisition would carry material integration and balance-sheet risk. This is a student case study, not investment advice.</t>
  </si>
  <si>
    <t>How to use the model</t>
  </si>
  <si>
    <t>Select a case in Assumptions!B5 and edit yellow inputs. Checks tests calculation consistency, not source completeness or investment quality. This is a retrospective FY2025 study: results were released 26 February 2026 and the price/share proxy was disclosed 27 February. It is not a strict information-available-at-26-February backtest or a 2025-only information set. See Sources for input limitations.</t>
  </si>
  <si>
    <t>Assumptions and Scenario Control</t>
  </si>
  <si>
    <t>Blue-font cells are editable. Forecast assumptions are explicitly separated from reported facts.</t>
  </si>
  <si>
    <t>Model control and market reference</t>
  </si>
  <si>
    <t>Scenario</t>
  </si>
  <si>
    <t>Base</t>
  </si>
  <si>
    <t>Valuation date</t>
  </si>
  <si>
    <t>2026-02-26</t>
  </si>
  <si>
    <t>Currency / units</t>
  </si>
  <si>
    <t>GBP millions</t>
  </si>
  <si>
    <t>Reference price (£)</t>
  </si>
  <si>
    <t>Voting shares used as proxy (m)</t>
  </si>
  <si>
    <t>Operating net debt</t>
  </si>
  <si>
    <t>Risk-free rate</t>
  </si>
  <si>
    <t>Equity risk premium</t>
  </si>
  <si>
    <t>Price: £81.266 = 8,126.60p / 100. RNS published 27 Feb 2026 reports 34,592 shares bought on 26 Feb. Retained as a verified programme VWAP proxy, not the official close or all-market VWAP. Voting rights are the announced post-cancellation denominator, not diluted weighted-average shares. Source S3.</t>
  </si>
  <si>
    <t>The proxy publication is one day after the valuation reference. No claim is made that these disclosed figures were public on 26 Feb. Operating net debt is still the FY2025 balance; no intervening debt/cash roll-forward is modelled.</t>
  </si>
  <si>
    <t>WACC</t>
  </si>
  <si>
    <t>Levered beta</t>
  </si>
  <si>
    <t>Pre-tax cost of debt</t>
  </si>
  <si>
    <t>Tax rate</t>
  </si>
  <si>
    <t>Market capitalisation</t>
  </si>
  <si>
    <t>Debt weight</t>
  </si>
  <si>
    <t>Equity weight</t>
  </si>
  <si>
    <t>Cost of equity</t>
  </si>
  <si>
    <t>After-tax cost of debt</t>
  </si>
  <si>
    <t>Operating cases</t>
  </si>
  <si>
    <t>Case</t>
  </si>
  <si>
    <t>2026 growth</t>
  </si>
  <si>
    <t>2027 growth</t>
  </si>
  <si>
    <t>2028 growth</t>
  </si>
  <si>
    <t>2029 growth</t>
  </si>
  <si>
    <t>2030 growth</t>
  </si>
  <si>
    <t>2030 EBITDA margin</t>
  </si>
  <si>
    <t>Terminal growth</t>
  </si>
  <si>
    <t>Downside</t>
  </si>
  <si>
    <t>Upside</t>
  </si>
  <si>
    <t>Selected</t>
  </si>
  <si>
    <t>Cash-flow drivers</t>
  </si>
  <si>
    <t>Driver</t>
  </si>
  <si>
    <t>Selected assumption</t>
  </si>
  <si>
    <t>Rationale</t>
  </si>
  <si>
    <t>D&amp;A as % revenue</t>
  </si>
  <si>
    <t>FY2025 adjusted EBITDA less adjusted operating profit, divided by income</t>
  </si>
  <si>
    <t>Capex as % revenue</t>
  </si>
  <si>
    <t>Explicit annual path: 9.5% in 2026, declining to 8.0% by 2029</t>
  </si>
  <si>
    <t>Change in NWC as % revenue</t>
  </si>
  <si>
    <t>Normalised modelling assumption</t>
  </si>
  <si>
    <t>Cash tax rate</t>
  </si>
  <si>
    <t>2026 company guidance midpoint</t>
  </si>
  <si>
    <t>2026E</t>
  </si>
  <si>
    <t>2027E</t>
  </si>
  <si>
    <t>2028E</t>
  </si>
  <si>
    <t>2029E</t>
  </si>
  <si>
    <t>2030E</t>
  </si>
  <si>
    <t>Selected case</t>
  </si>
  <si>
    <t>Method weighting and interpretation</t>
  </si>
  <si>
    <t>DCF weight</t>
  </si>
  <si>
    <t>Principal method: cash-flow based and linked to operating assumptions</t>
  </si>
  <si>
    <t>Comparable-company weight</t>
  </si>
  <si>
    <t>Cross-check only because peer business mix and definitions differ</t>
  </si>
  <si>
    <t>Weight check</t>
  </si>
  <si>
    <t>Historical Financials and Operating Review</t>
  </si>
  <si>
    <t>FY2025 preliminary results are the main source. Exact sections, reclassifications and legacy-input limitations are recorded in Sources.</t>
  </si>
  <si>
    <t>Income and cash flow</t>
  </si>
  <si>
    <t>GBP m unless stated</t>
  </si>
  <si>
    <t>2023A</t>
  </si>
  <si>
    <t>2024A</t>
  </si>
  <si>
    <t>2025A</t>
  </si>
  <si>
    <t>Total income excl. recoveries</t>
  </si>
  <si>
    <t>Growth</t>
  </si>
  <si>
    <t>Adjusted EBITDA</t>
  </si>
  <si>
    <t>Adjusted EBITDA margin</t>
  </si>
  <si>
    <t>Adjusted operating profit</t>
  </si>
  <si>
    <t>D&amp;A / impairment (derived)</t>
  </si>
  <si>
    <t>Reported EBITDA</t>
  </si>
  <si>
    <t>Change in working capital</t>
  </si>
  <si>
    <t>Capex</t>
  </si>
  <si>
    <t>Equity free cash flow</t>
  </si>
  <si>
    <t>Voting shares at FY2025 reporting (m)</t>
  </si>
  <si>
    <t>AI-supported document review</t>
  </si>
  <si>
    <t>Finding</t>
  </si>
  <si>
    <t>Evidence</t>
  </si>
  <si>
    <t>Valuation implication</t>
  </si>
  <si>
    <t>Confidence</t>
  </si>
  <si>
    <t>Human check</t>
  </si>
  <si>
    <t>Source ID</t>
  </si>
  <si>
    <t>Treatment</t>
  </si>
  <si>
    <t>Revenue quality</t>
  </si>
  <si>
    <t>ASV +5.9%; subscription-led data businesses</t>
  </si>
  <si>
    <t>Supports durable growth</t>
  </si>
  <si>
    <t>High</t>
  </si>
  <si>
    <t>Confirmed</t>
  </si>
  <si>
    <t>S1</t>
  </si>
  <si>
    <t>Base growth anchored to guidance</t>
  </si>
  <si>
    <t>Margin expansion</t>
  </si>
  <si>
    <t>2025 adjusted EBITDA margin 50.3%</t>
  </si>
  <si>
    <t>Operating leverage supports FCF</t>
  </si>
  <si>
    <t>Margin ramps by case</t>
  </si>
  <si>
    <t>Capital intensity</t>
  </si>
  <si>
    <t>2025 capex intensity 10.2%</t>
  </si>
  <si>
    <t>Near-term FCF burden eases</t>
  </si>
  <si>
    <t>Capex declines toward 8%</t>
  </si>
  <si>
    <t>Leverage</t>
  </si>
  <si>
    <t>Operating net debt £8.175bn</t>
  </si>
  <si>
    <t>Reduces equity value</t>
  </si>
  <si>
    <t>Full equity bridge deduction</t>
  </si>
  <si>
    <t>AI opportunity</t>
  </si>
  <si>
    <t>AI-ready data partnerships</t>
  </si>
  <si>
    <t>Potential upside, execution risk</t>
  </si>
  <si>
    <t>Medium</t>
  </si>
  <si>
    <t>Upside case only</t>
  </si>
  <si>
    <t>Model risk</t>
  </si>
  <si>
    <t>Forecasts require assumptions</t>
  </si>
  <si>
    <t>Avoid false precision</t>
  </si>
  <si>
    <t>S10</t>
  </si>
  <si>
    <t>Scenarios and sensitivities</t>
  </si>
  <si>
    <t>Discounted Cash Flow Valuation</t>
  </si>
  <si>
    <t>Unlevered FCF | Gordon growth terminal value | Year-end discounting | GBP millions except per share</t>
  </si>
  <si>
    <t>Forecast</t>
  </si>
  <si>
    <t>Revenue growth</t>
  </si>
  <si>
    <t>Revenue</t>
  </si>
  <si>
    <t>EBITDA margin</t>
  </si>
  <si>
    <t>D&amp;A / impairment</t>
  </si>
  <si>
    <t>EBIT</t>
  </si>
  <si>
    <t>Cash tax</t>
  </si>
  <si>
    <t>NOPAT</t>
  </si>
  <si>
    <t>D&amp;A add-back</t>
  </si>
  <si>
    <t>Change in NWC</t>
  </si>
  <si>
    <t>Unlevered FCF</t>
  </si>
  <si>
    <t>Discount period</t>
  </si>
  <si>
    <t>Discount factor</t>
  </si>
  <si>
    <t>PV of FCF</t>
  </si>
  <si>
    <t>Terminal value and equity bridge</t>
  </si>
  <si>
    <t>Terminal year FCF</t>
  </si>
  <si>
    <t>Terminal value</t>
  </si>
  <si>
    <t>PV factor</t>
  </si>
  <si>
    <t>PV of terminal value</t>
  </si>
  <si>
    <t>PV of forecast FCF</t>
  </si>
  <si>
    <t>Enterprise value</t>
  </si>
  <si>
    <t>Less: operating net debt</t>
  </si>
  <si>
    <t>Equity value</t>
  </si>
  <si>
    <t>DCF value per share</t>
  </si>
  <si>
    <t>Reference share price</t>
  </si>
  <si>
    <t>Comparable-Company Analysis</t>
  </si>
  <si>
    <t>Market prices fixed at 26 February 2026; financials are FY2025. EV/adjusted EBIT is used consistently. This is a reasonableness check, not the principal valuation.</t>
  </si>
  <si>
    <t>Peer screen</t>
  </si>
  <si>
    <t>Company</t>
  </si>
  <si>
    <t>Ticker</t>
  </si>
  <si>
    <t>Price</t>
  </si>
  <si>
    <t>Shares m</t>
  </si>
  <si>
    <t>Market cap LC m</t>
  </si>
  <si>
    <t>Net debt LC m</t>
  </si>
  <si>
    <t>Revenue LC m</t>
  </si>
  <si>
    <t>Adjusted EBIT LC m</t>
  </si>
  <si>
    <t>EV / Revenue</t>
  </si>
  <si>
    <t>EV / Adj. EBIT</t>
  </si>
  <si>
    <t>P / E</t>
  </si>
  <si>
    <t>LSEG</t>
  </si>
  <si>
    <t>LSEG.L</t>
  </si>
  <si>
    <t>Intercontinental Exchange</t>
  </si>
  <si>
    <t>ICE</t>
  </si>
  <si>
    <t>CME Group</t>
  </si>
  <si>
    <t>CME</t>
  </si>
  <si>
    <t>Nasdaq</t>
  </si>
  <si>
    <t>NDAQ</t>
  </si>
  <si>
    <t>Median</t>
  </si>
  <si>
    <t>LSEG implied value</t>
  </si>
  <si>
    <t>Selected peer median EV / adjusted EBIT</t>
  </si>
  <si>
    <t>LSEG 2025 adjusted operating profit</t>
  </si>
  <si>
    <t>Implied enterprise value</t>
  </si>
  <si>
    <t>Less operating net debt</t>
  </si>
  <si>
    <t>Implied equity value</t>
  </si>
  <si>
    <t>EV/adjusted EBIT uses a common metric label, but company adjustments and business mix still differ. Some peer shares, net-debt figures and P/E inputs remain approximate or unreconciled legacy inputs (Sources). The P/E median cache is corrected to 25.46x, but P/E is descriptive and does not drive value. The £123.96 result is an indicative screening cross-check, not a fully harmonised target price.</t>
  </si>
  <si>
    <t>Base, Upside and Downside Cases</t>
  </si>
  <si>
    <t>Case values recalculate the underlying DCF using case-specific growth, margins and terminal growth.</t>
  </si>
  <si>
    <t>Case valuation</t>
  </si>
  <si>
    <t>Revenue CAGR</t>
  </si>
  <si>
    <t>2030 revenue</t>
  </si>
  <si>
    <t>2030 margin</t>
  </si>
  <si>
    <t>2030 EBITDA</t>
  </si>
  <si>
    <t>Value / share</t>
  </si>
  <si>
    <t>DCF Sensitivities</t>
  </si>
  <si>
    <t>Sensitivity outputs independently recalculate the valuation mechanics.</t>
  </si>
  <si>
    <t>Value per share: WACC vs terminal growth</t>
  </si>
  <si>
    <t>WACC / TGR</t>
  </si>
  <si>
    <t>Value per share: revenue CAGR vs 2030 EBITDA margin</t>
  </si>
  <si>
    <t>CAGR / Margin</t>
  </si>
  <si>
    <t>Sensitivity calculation audit</t>
  </si>
  <si>
    <t>Selected grid point</t>
  </si>
  <si>
    <t>Table output</t>
  </si>
  <si>
    <t>Formula consistency</t>
  </si>
  <si>
    <t>Difference</t>
  </si>
  <si>
    <t>6.0% CAGR / 54.0% margin</t>
  </si>
  <si>
    <t>AI-Supported Document Review and Comparable Screening</t>
  </si>
  <si>
    <t>AI supports extraction, summarisation, peer screening and risk identification; Python automates the workbook. Human judgement remains responsible for verification, assumptions, peer selection and the conclusion.</t>
  </si>
  <si>
    <t>Document review log</t>
  </si>
  <si>
    <t>Topic</t>
  </si>
  <si>
    <t>AI-supported extraction</t>
  </si>
  <si>
    <t>Source evidence</t>
  </si>
  <si>
    <t>Model impact</t>
  </si>
  <si>
    <t>Human verified</t>
  </si>
  <si>
    <t>Risk of error</t>
  </si>
  <si>
    <t>Mitigation</t>
  </si>
  <si>
    <t>FY2025 performance</t>
  </si>
  <si>
    <t>Income £8.986bn; adj EBITDA £4.523bn</t>
  </si>
  <si>
    <t>LSEG FY2025 annual report</t>
  </si>
  <si>
    <t>Historical base year</t>
  </si>
  <si>
    <t>Yes</t>
  </si>
  <si>
    <t>Definition mismatch</t>
  </si>
  <si>
    <t>Use excl. recoveries consistently</t>
  </si>
  <si>
    <t>Guidance</t>
  </si>
  <si>
    <t>2026 growth 6.5-7.5%; margin +80-100bps</t>
  </si>
  <si>
    <t>LSEG FY2025 results</t>
  </si>
  <si>
    <t>Base forecast anchors</t>
  </si>
  <si>
    <t>Guidance not guaranteed</t>
  </si>
  <si>
    <t>Scenario ranges</t>
  </si>
  <si>
    <t>Cash conversion</t>
  </si>
  <si>
    <t>Capex £919m; equity FCF £2.445bn</t>
  </si>
  <si>
    <t>LSEG annual report</t>
  </si>
  <si>
    <t>Capex sanity check</t>
  </si>
  <si>
    <t>FCFE vs UFCF</t>
  </si>
  <si>
    <t>DCF explicitly uses UFCF</t>
  </si>
  <si>
    <t>Capital structure</t>
  </si>
  <si>
    <t>Equity bridge</t>
  </si>
  <si>
    <t>Regulatory cash treatment</t>
  </si>
  <si>
    <t>Use company definition</t>
  </si>
  <si>
    <t>Peer relevance</t>
  </si>
  <si>
    <t>ICE, CME, Nasdaq</t>
  </si>
  <si>
    <t>FY2025 company results</t>
  </si>
  <si>
    <t>Comparable screen</t>
  </si>
  <si>
    <t>Business-mix differences</t>
  </si>
  <si>
    <t>Median and limitation note</t>
  </si>
  <si>
    <t>AI theme</t>
  </si>
  <si>
    <t>Upside narrative only</t>
  </si>
  <si>
    <t>Double counting</t>
  </si>
  <si>
    <t>No separate base premium</t>
  </si>
  <si>
    <t>David's review</t>
  </si>
  <si>
    <t>Pending David</t>
  </si>
  <si>
    <t>LSEG FY2025 preliminary results (S1)</t>
  </si>
  <si>
    <t>Critical Review: What Automation Can and Cannot Decide</t>
  </si>
  <si>
    <t>This appendix responds directly to model-risk feedback and prevents mechanically correct outputs from being presented as automatically reliable conclusions.</t>
  </si>
  <si>
    <t>Corrections made</t>
  </si>
  <si>
    <t>Issue</t>
  </si>
  <si>
    <t>Earlier treatment</t>
  </si>
  <si>
    <t>Correction</t>
  </si>
  <si>
    <t>Why it matters</t>
  </si>
  <si>
    <t>Information timing</t>
  </si>
  <si>
    <t>31 Dec 2025 date with later results; proxy also disclosed after 26 Feb</t>
  </si>
  <si>
    <t>FY2025 retrospective study, market reference 26 Feb and proxy publication 27 Feb disclosed</t>
  </si>
  <si>
    <t>Does not claim a strict point-in-time backtest or a 2025-only information set</t>
  </si>
  <si>
    <t>Mixed peer metrics</t>
  </si>
  <si>
    <t>EBITDA and operating income combined</t>
  </si>
  <si>
    <t>EV/adjusted EBIT used consistently</t>
  </si>
  <si>
    <t>Removes a material denominator mismatch</t>
  </si>
  <si>
    <t>Static controls</t>
  </si>
  <si>
    <t>Scenario, checks and recommendation could become stale</t>
  </si>
  <si>
    <t>Live Excel formulas now drive all three</t>
  </si>
  <si>
    <t>Workbook responds when assumptions change</t>
  </si>
  <si>
    <t>Arbitrary blend</t>
  </si>
  <si>
    <t>Fixed 50/50 weighting</t>
  </si>
  <si>
    <t>DCF is principal method; editable 70/30 weighting</t>
  </si>
  <si>
    <t>Recognises lower confidence in peer comparability</t>
  </si>
  <si>
    <t>WACC cache mismatch</t>
  </si>
  <si>
    <t>Python used 7.8% while Excel derived about 7.695%</t>
  </si>
  <si>
    <t>One WACC calculation now drives Python caches and Excel formulas</t>
  </si>
  <si>
    <t>Saved values no longer change solely because Excel recalculates</t>
  </si>
  <si>
    <t>Operating sensitivity defect</t>
  </si>
  <si>
    <t>Scenario terminal FCF was combined with base forecast FCF</t>
  </si>
  <si>
    <t>Every grid cell now rebuilds all five scenario FCFs and terminal value</t>
  </si>
  <si>
    <t>Sensitivity outputs now reflect both changed operating drivers</t>
  </si>
  <si>
    <t>Capex timing</t>
  </si>
  <si>
    <t>Capex reached 8.0% in 2027</t>
  </si>
  <si>
    <t>Annual path is 9.5%, 9.0%, 8.5%, 8.0%, 8.0%</t>
  </si>
  <si>
    <t>Matches the stated objective of reaching about 8% by 2029</t>
  </si>
  <si>
    <t>Share definition</t>
  </si>
  <si>
    <t>Voting shares were labelled diluted shares</t>
  </si>
  <si>
    <t>Voting-share proxy is labelled consistently and dilution is disclosed</t>
  </si>
  <si>
    <t>Avoids overstating the precision of per-share valuation</t>
  </si>
  <si>
    <t>Assumption evidence and limitations</t>
  </si>
  <si>
    <t>Assumption</t>
  </si>
  <si>
    <t>Status</t>
  </si>
  <si>
    <t>Support</t>
  </si>
  <si>
    <t>Challenge / sensitivity</t>
  </si>
  <si>
    <t>Beta</t>
  </si>
  <si>
    <t>Analyst estimate</t>
  </si>
  <si>
    <t>Broad market-risk assumption; not a reported company fact</t>
  </si>
  <si>
    <t>Tested indirectly through WACC sensitivity</t>
  </si>
  <si>
    <t>Market assumption</t>
  </si>
  <si>
    <t>Rounded long-dated sterling rate near valuation date</t>
  </si>
  <si>
    <t>WACC sensitivity spans 6.5%-8.5%</t>
  </si>
  <si>
    <t>Equity-risk premium</t>
  </si>
  <si>
    <t>Rounded mature-market ERP</t>
  </si>
  <si>
    <t>Change ERP or use WACC sensitivity</t>
  </si>
  <si>
    <t>Approximation for investment-grade LSEG</t>
  </si>
  <si>
    <t>Editable input</t>
  </si>
  <si>
    <t>NWC investment / revenue</t>
  </si>
  <si>
    <t>Normalised estimate</t>
  </si>
  <si>
    <t>FY2025 working-capital outflow was unusually high</t>
  </si>
  <si>
    <t>Editable and explicitly labelled</t>
  </si>
  <si>
    <t>Capex intensity</t>
  </si>
  <si>
    <t>Company-guided near term</t>
  </si>
  <si>
    <t>2026 guidance about 9.5%; 2029 ambition about 8%</t>
  </si>
  <si>
    <t>Downward path beyond 2026 is an estimate</t>
  </si>
  <si>
    <t>Analyst estimate, above guidance bridge</t>
  </si>
  <si>
    <t>50.3% FY2025 + 0.9pp 2026 midpoint + 1.5pp cumulative 2027-29 = c.52.7% in 2029 (S2, guidance sections)</t>
  </si>
  <si>
    <t>54% needs c.1.3pp more in 2030. Assumes further efficiency; not company guidance. Grid tests 50%-58%.</t>
  </si>
  <si>
    <t>Long-run nominal growth assumption</t>
  </si>
  <si>
    <t>1.5%-3.5% sensitivity range</t>
  </si>
  <si>
    <t>Human judgement conclusion</t>
  </si>
  <si>
    <t>The calculations can be reproduced automatically, but the conclusion cannot be delegated to automation. The DCF is treated as the principal method because it links value to explicit operating assumptions. The comparable result is retained only as a reasonableness check after metric normalisation. David's conclusion is therefore POSITIVE / WATCH rather than an unconditional buy recommendation: the apparent upside must compensate for execution, leverage, dilution, peer-comparability and terminal-value risk.</t>
  </si>
  <si>
    <t>Final review: 7 September 2026</t>
  </si>
  <si>
    <t>The selected-case check now matches the case name to Scenarios rather than always testing Base. The peer P/E cache now derives from the three peer inputs (25.46x). The programme price proxy is confirmed, with its 27-Feb publication date disclosed. Sources maps material inputs to sections and records reclassifications and unresolved provenance. These changes do not turn approximate inputs into verified facts.</t>
  </si>
  <si>
    <t>Margin interpretation: management's 2026 and 2027-29 guidance is on a constant-currency/underlying basis. Combining it with the reported FY2025 margin is only an illustrative bridge. The existing straight-line path adds about 73bp a year (2026 about 51.1%), so it is not an exact reproduction of 80-100bp 2026 guidance. A 54% endpoint assumes sustained efficiency after 2029; the 52.7% alternative should also be discussed. No separate AI revenue or margin premium is added.</t>
  </si>
  <si>
    <t>Model Checks</t>
  </si>
  <si>
    <t>Audit checks</t>
  </si>
  <si>
    <t>Check</t>
  </si>
  <si>
    <t>Actual</t>
  </si>
  <si>
    <t>Expected</t>
  </si>
  <si>
    <t>Tolerance</t>
  </si>
  <si>
    <t>Fix hint</t>
  </si>
  <si>
    <t>DCF FCF tie</t>
  </si>
  <si>
    <t>Review DCF rows 14-18</t>
  </si>
  <si>
    <t>EV bridge</t>
  </si>
  <si>
    <t>Review DCF rows 30-34</t>
  </si>
  <si>
    <t>WACC formula consistency</t>
  </si>
  <si>
    <t>Review Assumptions WACC build</t>
  </si>
  <si>
    <t>WACC &gt; terminal growth</t>
  </si>
  <si>
    <t>Adjust Assumptions B23 / B38</t>
  </si>
  <si>
    <t>DCF / selected scenario tie</t>
  </si>
  <si>
    <t>Match Assumptions B5 to Scenarios A7:A9</t>
  </si>
  <si>
    <t>Shares positive</t>
  </si>
  <si>
    <t>Review Assumptions B9</t>
  </si>
  <si>
    <t>Net debt non-negative</t>
  </si>
  <si>
    <t>Review Assumptions B10</t>
  </si>
  <si>
    <t>Selected case valid</t>
  </si>
  <si>
    <t>Select Base/Upside/Downside</t>
  </si>
  <si>
    <t>Comps median positive</t>
  </si>
  <si>
    <t>Review Comps inputs</t>
  </si>
  <si>
    <t>DCF value positive</t>
  </si>
  <si>
    <t>Review DCF and WACC</t>
  </si>
  <si>
    <t>Method weights total 100%</t>
  </si>
  <si>
    <t>Review Assumptions B40:B41</t>
  </si>
  <si>
    <t>Operating sensitivity recalculation</t>
  </si>
  <si>
    <t>Review Sensitivities calculation audit</t>
  </si>
  <si>
    <t>Capex reaches 8% in 2029</t>
  </si>
  <si>
    <t>Review Assumptions D35:H35</t>
  </si>
  <si>
    <t>Share-definition consistency</t>
  </si>
  <si>
    <t>Use voting-share proxy label consistently</t>
  </si>
  <si>
    <t>PASS covers the listed arithmetic and label checks only. Source provenance, restatement scope, peer estimates and forecast credibility require separate review in Sources. The sensitivity consistency line repeats the valuation formula; independent recalculation testing is documented in the review guide.</t>
  </si>
  <si>
    <t>Sources and Audit Trail</t>
  </si>
  <si>
    <t>FY2025 study. Market reference 26 Feb 2026; programme VWAP/share disclosure 27 Feb. Material-input locators and restatement status below.</t>
  </si>
  <si>
    <t>Source log</t>
  </si>
  <si>
    <t>ID</t>
  </si>
  <si>
    <t>Item</t>
  </si>
  <si>
    <t>Value / use</t>
  </si>
  <si>
    <t>Units</t>
  </si>
  <si>
    <t>Period / as-of</t>
  </si>
  <si>
    <t>Source</t>
  </si>
  <si>
    <t>URL</t>
  </si>
  <si>
    <t>Notes</t>
  </si>
  <si>
    <t>LSEG FY2025 preliminary results PDF</t>
  </si>
  <si>
    <t>Historical financials, cash flow and debt</t>
  </si>
  <si>
    <t>GBP m</t>
  </si>
  <si>
    <t>Released 2026-02-26</t>
  </si>
  <si>
    <t>https://www.lseg.com/content/dam/lseg/en_us/documents/investor-relations/financial-results/preliminary-results/rns/lseg-2025-preliminary-results-rns-26feb2026.pdf</t>
  </si>
  <si>
    <t>Use release-date evidence; do not assume the annual report was already public</t>
  </si>
  <si>
    <t>S2</t>
  </si>
  <si>
    <t>LSEG FY2025 preliminary results</t>
  </si>
  <si>
    <t>Adjusted KPIs and initial 2026 guidance</t>
  </si>
  <si>
    <t>https://www.lseg.com/en/media-centre/press-releases/2026/london-stock-exchange-group-plc-preliminary-results-for-the-year-ended-31-december-2025</t>
  </si>
  <si>
    <t>Sets the information/valuation date</t>
  </si>
  <si>
    <t>S3</t>
  </si>
  <si>
    <t>LSEG buyback RNS published 27 Feb</t>
  </si>
  <si>
    <t>26-Feb purchases VWAP 8,126.60p; prospective voting rights 505.332519m</t>
  </si>
  <si>
    <t>GBX / shares</t>
  </si>
  <si>
    <t>Trade 2026-02-26; publication 2026-02-27</t>
  </si>
  <si>
    <t>LSEG RNS</t>
  </si>
  <si>
    <t>https://www.investegate.co.uk/announcement/rns/london-stock-exchange-group--lseg/transaction-in-own-shares/9449825</t>
  </si>
  <si>
    <t>Ordinary Shares table; following-cancellation paragraph. Verified retrospective proxy, not close or strict same-day public information.</t>
  </si>
  <si>
    <t>S4</t>
  </si>
  <si>
    <t>ICE FY2025 results</t>
  </si>
  <si>
    <t>Revenue, adjusted operating income, debt, cash and shares</t>
  </si>
  <si>
    <t>USD m</t>
  </si>
  <si>
    <t>FY2025</t>
  </si>
  <si>
    <t>https://ir.theice.com/press/news-details/2026/Intercontinental-Exchange-Reports-Strong-Full-Year-2025-Results/</t>
  </si>
  <si>
    <t>Primary financial source</t>
  </si>
  <si>
    <t>S5</t>
  </si>
  <si>
    <t>CME FY2025 results</t>
  </si>
  <si>
    <t>Revenue and adjusted operating income</t>
  </si>
  <si>
    <t>https://investor.cmegroup.com/news-releases/news-release-details/cme-group-inc-reports-fourth-consecutive-year-record-annual</t>
  </si>
  <si>
    <t>Adjusted operating income $4,524.8m</t>
  </si>
  <si>
    <t>S6</t>
  </si>
  <si>
    <t>Nasdaq FY2025 results</t>
  </si>
  <si>
    <t>Net revenue and adjusted operating income</t>
  </si>
  <si>
    <t>https://ir.nasdaq.com/news-releases/news-release-details/nasdaq-reports-fourth-quarter-and-full-year-2025-results-annual</t>
  </si>
  <si>
    <t>S7</t>
  </si>
  <si>
    <t>ICE historical price</t>
  </si>
  <si>
    <t>Close $162.89</t>
  </si>
  <si>
    <t>USD/share</t>
  </si>
  <si>
    <t>Yahoo Finance / ChartExchange</t>
  </si>
  <si>
    <t>https://chartexchange.com/symbol/nyse-ice/historical/</t>
  </si>
  <si>
    <t>Date-aligned secondary market source</t>
  </si>
  <si>
    <t>S8</t>
  </si>
  <si>
    <t>CME historical price</t>
  </si>
  <si>
    <t>Close $316.45</t>
  </si>
  <si>
    <t>ChartExchange</t>
  </si>
  <si>
    <t>https://chartexchange.com/symbol/nasdaq-cme/historical/</t>
  </si>
  <si>
    <t>S9</t>
  </si>
  <si>
    <t>Nasdaq historical price</t>
  </si>
  <si>
    <t>Close $88.59</t>
  </si>
  <si>
    <t>https://chartexchange.com/symbol/nasdaq-ndaq/historical/</t>
  </si>
  <si>
    <t>GBP/USD historical FX</t>
  </si>
  <si>
    <t>1.3491 USD per GBP</t>
  </si>
  <si>
    <t>FX</t>
  </si>
  <si>
    <t>ExchangeRates.org.uk</t>
  </si>
  <si>
    <t>https://www.exchangerates.org.uk/historical/find-exchange-rate-history-for-26_02_2026</t>
  </si>
  <si>
    <t>For date alignment; multiples use local-currency numerator and denominator</t>
  </si>
  <si>
    <t>S11</t>
  </si>
  <si>
    <t>Valuation assumptions</t>
  </si>
  <si>
    <t>Beta, WACC inputs, NWC, capex path, margin and TGR</t>
  </si>
  <si>
    <t>Various</t>
  </si>
  <si>
    <t>2026-02-26 valuation</t>
  </si>
  <si>
    <t>Model author</t>
  </si>
  <si>
    <t>N/A</t>
  </si>
  <si>
    <t>Explicit estimates; see Critical Review</t>
  </si>
  <si>
    <t>S12</t>
  </si>
  <si>
    <t>FY2025 voting rights</t>
  </si>
  <si>
    <t>510.408075m excluding treasury</t>
  </si>
  <si>
    <t>shares m</t>
  </si>
  <si>
    <t>2025-12-31</t>
  </si>
  <si>
    <t>https://www.investegate.co.uk/announcement/rns/london-stock-exchange-group--lseg/total-voting-rights/9330335</t>
  </si>
  <si>
    <t>Total Voting Rights: share-capital and voting-rights paragraphs</t>
  </si>
  <si>
    <t>Material inputs: source locator and restatement / estimation status</t>
  </si>
  <si>
    <t>Input ID</t>
  </si>
  <si>
    <t>Workbook location</t>
  </si>
  <si>
    <t>Input / definition</t>
  </si>
  <si>
    <t>Page or section</t>
  </si>
  <si>
    <t>Period / publication</t>
  </si>
  <si>
    <t>Restatement / verification status</t>
  </si>
  <si>
    <t>Treatment / limitation</t>
  </si>
  <si>
    <t>I01</t>
  </si>
  <si>
    <t>Historical C7:D11</t>
  </si>
  <si>
    <t>2024/25 income excluding recoveries; adjusted EBITDA and operating profit</t>
  </si>
  <si>
    <t>S1 / S2</t>
  </si>
  <si>
    <t>S1 p.1 summary tables; S2 Reported and Adjusted tables</t>
  </si>
  <si>
    <t>FY2024/25; published 26 Feb 2026</t>
  </si>
  <si>
    <t>Matches displayed comparative figures; no restated label on these group totals</t>
  </si>
  <si>
    <t>Adjusted is not synonymous with restated. Use the release's comparative basis.</t>
  </si>
  <si>
    <t>I02</t>
  </si>
  <si>
    <t>Historical B7:B12</t>
  </si>
  <si>
    <t>2023 income 8,061; adj EBITDA 3,801; adj EBIT 2,909</t>
  </si>
  <si>
    <t>Legacy input</t>
  </si>
  <si>
    <t>Original FY2023 table/page not preserved</t>
  </si>
  <si>
    <t>FY2023</t>
  </si>
  <si>
    <t>Original source and restatement basis not independently resolved in this review</t>
  </si>
  <si>
    <t>Context only; does not drive FY2025-based DCF. Do not cite as newly verified.</t>
  </si>
  <si>
    <t>I03</t>
  </si>
  <si>
    <t>Historical C13:D16</t>
  </si>
  <si>
    <t>Reported EBITDA; working capital; capex; equity FCF</t>
  </si>
  <si>
    <t>p.20 Cash Flow, table and footnote 1; p.50 APM reconciliation</t>
  </si>
  <si>
    <t>FY2024/25; 26 Feb 2026</t>
  </si>
  <si>
    <t>2024 £12m reclassified from working capital to non-cash items</t>
  </si>
  <si>
    <t>Uses reclassified 2024 working-capital outflow £50m. 2025 outflow £419m; equity FCF is not UFCF.</t>
  </si>
  <si>
    <t>I04</t>
  </si>
  <si>
    <t>Historical C17:D17; Assumptions B10</t>
  </si>
  <si>
    <t>Operating net debt 7,178 / 8,175</t>
  </si>
  <si>
    <t>p.21 Net Debt / Leverage / Ratings; p.50 Net debt and operating net debt</t>
  </si>
  <si>
    <t>31 Dec 2024/25</t>
  </si>
  <si>
    <t>Matches current release; no restated label on debt table</t>
  </si>
  <si>
    <t>Excludes lease liabilities and adds regulatory/operational cash. No 2026 debt roll-forward or full minority-interest bridge.</t>
  </si>
  <si>
    <t>I05</t>
  </si>
  <si>
    <t>Historical D18</t>
  </si>
  <si>
    <t>510.408075m voting rights excluding treasury</t>
  </si>
  <si>
    <t>31 Dec 2025</t>
  </si>
  <si>
    <t>Matched to dated company announcement</t>
  </si>
  <si>
    <t>Period-end voting rights, not diluted weighted-average shares.</t>
  </si>
  <si>
    <t>I06</t>
  </si>
  <si>
    <t>Assumptions B8; Comps C7</t>
  </si>
  <si>
    <t>£81.266 programme purchase VWAP</t>
  </si>
  <si>
    <t>Ordinary Shares table: date of purchase and volume weighted average price</t>
  </si>
  <si>
    <t>Purchases 26 Feb; public 27 Feb 2026</t>
  </si>
  <si>
    <t>Verified 8,126.60p / 100; not a financial-statement restatement item</t>
  </si>
  <si>
    <t>Retained proxy covers 34,592 bought shares. Not an official close or all-market VWAP; retrospective use disclosed.</t>
  </si>
  <si>
    <t>I07</t>
  </si>
  <si>
    <t>Assumptions B9; Comps D7</t>
  </si>
  <si>
    <t>505.332519m voting-share proxy</t>
  </si>
  <si>
    <t>Paragraph beginning Following the cancellation</t>
  </si>
  <si>
    <t>Published 27 Feb 2026</t>
  </si>
  <si>
    <t>Verified announced post-cancellation denominator; not proof of completion time</t>
  </si>
  <si>
    <t>Excludes treasury. No allowance for potential dilution; not a same-day public-information backtest.</t>
  </si>
  <si>
    <t>I08</t>
  </si>
  <si>
    <t>Assumptions B11:B17</t>
  </si>
  <si>
    <t>Rf 4.5%, ERP 4.5%, beta 0.9, debt cost 4.5%, tax 24.5%</t>
  </si>
  <si>
    <t>S11 / S2</t>
  </si>
  <si>
    <t>Author WACC assumptions; S2 2026 guidance for tax only</t>
  </si>
  <si>
    <t>Market-risk inputs are rounded estimates, not verified historical observations</t>
  </si>
  <si>
    <t>WACC uses operating net debt as a simplified weight. Debt tax rate and operating tax driver are separately editable.</t>
  </si>
  <si>
    <t>I09</t>
  </si>
  <si>
    <t>Assumptions B27:F29</t>
  </si>
  <si>
    <t>Annual revenue growth by scenario</t>
  </si>
  <si>
    <t>S2 / S11</t>
  </si>
  <si>
    <t>2026 guidance; Medium-term guidance 2027-2029</t>
  </si>
  <si>
    <t>2026-30 forecasts</t>
  </si>
  <si>
    <t>2026 Base 7% is guidance midpoint; later yearly choices and other cases are estimates</t>
  </si>
  <si>
    <t>Guidance is organic constant currency; model applies it to reported GBP income without a separate FX/acquisition bridge.</t>
  </si>
  <si>
    <t>I10</t>
  </si>
  <si>
    <t>Assumptions G27:G29; DCF C9:G9</t>
  </si>
  <si>
    <t>2030 EBITDA margins 51.5%, 54%, 56%</t>
  </si>
  <si>
    <t>Financial highlights; 2026 guidance; Medium-term guidance 2027-2029</t>
  </si>
  <si>
    <t>2025 anchor to 2030 forecast</t>
  </si>
  <si>
    <t>54% is an analyst assumption. Approximate guidance bridge reaches 52.7% in 2029</t>
  </si>
  <si>
    <t>Requires c.1.3pp additional 2030 expansion; flat model ramp gives c.73bp annually, not exact 2026 guidance.</t>
  </si>
  <si>
    <t>I11</t>
  </si>
  <si>
    <t>Assumptions B34</t>
  </si>
  <si>
    <t>D&amp;A / income 11.3%</t>
  </si>
  <si>
    <t>S1 / S11</t>
  </si>
  <si>
    <t>p.1 adjusted EBITDA less adjusted operating profit</t>
  </si>
  <si>
    <t>FY2025 calibration</t>
  </si>
  <si>
    <t>Derived and rounded: (4,523 - 3,506) / 8,986 = 11.3176%</t>
  </si>
  <si>
    <t>Adjusted depreciation/amortisation proxy, not total statutory D&amp;A; held flat in forecasts.</t>
  </si>
  <si>
    <t>I12</t>
  </si>
  <si>
    <t>Assumptions D35:H35</t>
  </si>
  <si>
    <t>Capex / income 9.5%, 9%, 8.5%, 8%, 8%</t>
  </si>
  <si>
    <t>2026-30 forecast</t>
  </si>
  <si>
    <t>2026 and 2029 endpoints guided; 2027/28 interpolation and 2030 flat rate estimated</t>
  </si>
  <si>
    <t>Not annual company guidance; based on capex excluding sales commissions and SwapClear intangible payment (S1 p.50).</t>
  </si>
  <si>
    <t>I13</t>
  </si>
  <si>
    <t>Assumptions B36:B38; H27:H29</t>
  </si>
  <si>
    <t>NWC 1.5%; tax 24.5%; terminal growth 2%-3%</t>
  </si>
  <si>
    <t>S1 / S2 / S11</t>
  </si>
  <si>
    <t>S1 p.20 Cash Flow explanation; S2 2026 guidance; author TGR</t>
  </si>
  <si>
    <t>2026-30 and terminal assumptions</t>
  </si>
  <si>
    <t>NWC and TGR estimated; tax is 24%-25% guidance midpoint</t>
  </si>
  <si>
    <t>NWC is annual investment as a share of revenue, not a balance-sheet NWC ratio. Cash tax timing simplified.</t>
  </si>
  <si>
    <t>I14</t>
  </si>
  <si>
    <t>Assumptions B40:B41</t>
  </si>
  <si>
    <t>70% DCF / 30% comps</t>
  </si>
  <si>
    <t>Author method weighting</t>
  </si>
  <si>
    <t>Valuation assumption</t>
  </si>
  <si>
    <t>Judgement; not statistically estimated or source-reported</t>
  </si>
  <si>
    <t>Principal conclusion is DCF-led. Blend inherits peer-data uncertainty.</t>
  </si>
  <si>
    <t>I15</t>
  </si>
  <si>
    <t>Comps G8:H8</t>
  </si>
  <si>
    <t>ICE 9,931 revenue net of transaction costs; 5,959 adjusted operating income</t>
  </si>
  <si>
    <t>Adjusted Operating Income, Operating Margin and Operating Expense Reconciliation: FY2025 consolidated</t>
  </si>
  <si>
    <t>FY2025; released 5 Feb 2026</t>
  </si>
  <si>
    <t>Matched release; non-GAAP adjusted, not labelled restated in selected table</t>
  </si>
  <si>
    <t>Company-specific exclusions remain; common adjusted EBIT label does not fully harmonise accounting.</t>
  </si>
  <si>
    <t>I16</t>
  </si>
  <si>
    <t>Comps D8:F8</t>
  </si>
  <si>
    <t>ICE shares 575m; net debt 18,763m</t>
  </si>
  <si>
    <t>Adjusted Net Income / EPS: diluted weighted-average shares; Other Matters: cash and debt</t>
  </si>
  <si>
    <t>FY2025 / 31 Dec 2025</t>
  </si>
  <si>
    <t>575m is diluted weighted average; net debt uses rounded debt 19.6bn less cash 837m</t>
  </si>
  <si>
    <t>Market cap therefore uses an annual share proxy, not verified 26-Feb spot shares. Debt precision limited by rounding.</t>
  </si>
  <si>
    <t>I17</t>
  </si>
  <si>
    <t>Comps G9:H9</t>
  </si>
  <si>
    <t>CME revenue 6,520.6 and adjusted operating income 4,524.8</t>
  </si>
  <si>
    <t>Reconciliation of Adjusted Operating Income: FY2025 column</t>
  </si>
  <si>
    <t>FY2025; released 4 Feb 2026</t>
  </si>
  <si>
    <t>Matched selected non-GAAP table; no restated label in that table</t>
  </si>
  <si>
    <t>Local USD numerator and denominator; company-specific adjustments.</t>
  </si>
  <si>
    <t>I18</t>
  </si>
  <si>
    <t>Comps D9:F9</t>
  </si>
  <si>
    <t>CME shares 361m; net cash 1,200m</t>
  </si>
  <si>
    <t>Legacy estimates / S5</t>
  </si>
  <si>
    <t>Exact source line for both legacy capital inputs not established</t>
  </si>
  <si>
    <t>Intended FY2025</t>
  </si>
  <si>
    <t>Unreconciled approximations retained; not verified source facts</t>
  </si>
  <si>
    <t>Comps estimate is provisional. No claim these are current point-in-time shares or exact unrestricted net cash.</t>
  </si>
  <si>
    <t>I19</t>
  </si>
  <si>
    <t>Comps G10:H10</t>
  </si>
  <si>
    <t>Nasdaq net revenue 5,249 and non-GAAP operating income 2,918</t>
  </si>
  <si>
    <t>2025 highlights table; Reconciliation of U.S. GAAP to Non-GAAP Operating Income</t>
  </si>
  <si>
    <t>FY2025; released 29 Jan 2026</t>
  </si>
  <si>
    <t>Matched FY2025; 2024 non-GAAP revenue comparatives differ from GAAP in reconciliation</t>
  </si>
  <si>
    <t>Use 2025 2,918 operating income, not the identically numbered GAAP operating-expense line.</t>
  </si>
  <si>
    <t>I20</t>
  </si>
  <si>
    <t>Comps D10:F10</t>
  </si>
  <si>
    <t>Nasdaq shares 575m; net debt 8,000m</t>
  </si>
  <si>
    <t>Legacy estimates / S6</t>
  </si>
  <si>
    <t>Exact 575m/8,000m provenance not established</t>
  </si>
  <si>
    <t>Approximate/unreconciled; release reports FY2025 diluted weighted-average shares 578.6m</t>
  </si>
  <si>
    <t>Retained screening assumptions, not verified spot capital structure.</t>
  </si>
  <si>
    <t>I21</t>
  </si>
  <si>
    <t>Comps C8:C10</t>
  </si>
  <si>
    <t>ICE 162.89; CME 316.45; Nasdaq 88.59 (USD)</t>
  </si>
  <si>
    <t>S7-S9</t>
  </si>
  <si>
    <t>Historical price tables: 26-Feb-2026 row</t>
  </si>
  <si>
    <t>26 Feb 2026</t>
  </si>
  <si>
    <t>Previously collected prices; archived rows not revalidated in this final review</t>
  </si>
  <si>
    <t>Historical inputs frozen; not a live feed. No claim of renewed independent price verification.</t>
  </si>
  <si>
    <t>I22</t>
  </si>
  <si>
    <t>Comps K7:K11</t>
  </si>
  <si>
    <t>P/E inputs 19.32 / 23.30 / 28.25 / 25.46; peer median 25.46x</t>
  </si>
  <si>
    <t>Legacy estimates</t>
  </si>
  <si>
    <t>K8:K10 sorted: 23.30, 25.46, 28.25</t>
  </si>
  <si>
    <t>Legacy FY2025 screening inputs</t>
  </si>
  <si>
    <t>Median arithmetic and cache verified; original P/E earnings basis not fully evidenced</t>
  </si>
  <si>
    <t>P/E is descriptive only and excluded from valuation. Cache correction does not validate each input's basis.</t>
  </si>
  <si>
    <t>I23</t>
  </si>
  <si>
    <t>DCF B13:B21</t>
  </si>
  <si>
    <t>Illustrative historical tax and UFCF bridge</t>
  </si>
  <si>
    <t>Historical adjusted EBIT and simplified tax; not reported cash-tax series</t>
  </si>
  <si>
    <t>FY2025 illustration</t>
  </si>
  <si>
    <t>Model-derived/rounded, not statutory historical UFCF</t>
  </si>
  <si>
    <t>Forecast valuation uses C:G only. Do not present illustrative tax 859m as cash tax paid (S1 p.20 is 396m).</t>
  </si>
</sst>
</file>

<file path=xl/styles.xml><?xml version="1.0" encoding="utf-8"?>
<styleSheet xmlns="http://schemas.openxmlformats.org/spreadsheetml/2006/main">
  <numFmts count="8">
    <numFmt numFmtId="164" formatCode="£0.00;[Red](£0.00);-"/>
    <numFmt numFmtId="165" formatCode="0.0%;[Red](0.0%);-"/>
    <numFmt numFmtId="166" formatCode="#,##0;[Red](#,##0);-"/>
    <numFmt numFmtId="167" formatCode="0.00x"/>
    <numFmt numFmtId="168" formatCode="0.0%"/>
    <numFmt numFmtId="169" formatCode="£#,##0;[Red](£#,##0);-"/>
    <numFmt numFmtId="170" formatCode="0.0x;[Red](0.0x);-"/>
    <numFmt numFmtId="171" formatCode="£0.00"/>
  </numFmts>
  <fonts count="7">
    <font>
      <sz val="11"/>
      <color theme="1"/>
      <name val="Calibri"/>
      <family val="2"/>
      <scheme val="minor"/>
    </font>
    <font>
      <b/>
      <sz val="16"/>
      <color rgb="FFFFFFFF"/>
      <name val="Arial"/>
      <family val="2"/>
    </font>
    <font>
      <i/>
      <sz val="10"/>
      <color rgb="FF1F4E78"/>
      <name val="Arial"/>
      <family val="2"/>
    </font>
    <font>
      <b/>
      <sz val="10"/>
      <color rgb="FFFFFFFF"/>
      <name val="Arial"/>
      <family val="2"/>
    </font>
    <font>
      <b/>
      <sz val="10"/>
      <color theme="1"/>
      <name val="Arial"/>
      <family val="2"/>
    </font>
    <font>
      <sz val="10"/>
      <color theme="1"/>
      <name val="Arial"/>
      <family val="2"/>
    </font>
    <font>
      <sz val="10"/>
      <color rgb="FF0000FF"/>
      <name val="Arial"/>
      <family val="2"/>
    </font>
  </fonts>
  <fills count="8">
    <fill>
      <patternFill patternType="none"/>
    </fill>
    <fill>
      <patternFill patternType="gray125"/>
    </fill>
    <fill>
      <patternFill patternType="solid">
        <fgColor rgb="FF0B1F3A"/>
        <bgColor indexed="64"/>
      </patternFill>
    </fill>
    <fill>
      <patternFill patternType="solid">
        <fgColor rgb="FFEEF4F8"/>
        <bgColor indexed="64"/>
      </patternFill>
    </fill>
    <fill>
      <patternFill patternType="solid">
        <fgColor rgb="FF1F4E78"/>
        <bgColor indexed="64"/>
      </patternFill>
    </fill>
    <fill>
      <patternFill patternType="solid">
        <fgColor rgb="FFD9EAF7"/>
        <bgColor indexed="64"/>
      </patternFill>
    </fill>
    <fill>
      <patternFill patternType="solid">
        <fgColor rgb="FFE2F0D9"/>
        <bgColor indexed="64"/>
      </patternFill>
    </fill>
    <fill>
      <patternFill patternType="solid">
        <fgColor rgb="FFFFF2CC"/>
        <bgColor indexed="64"/>
      </patternFill>
    </fill>
  </fills>
  <borders count="4">
    <border>
      <left/>
      <right/>
      <top/>
      <bottom/>
      <diagonal/>
    </border>
    <border>
      <left/>
      <right/>
      <top/>
      <bottom style="thin">
        <color auto="1"/>
      </bottom>
      <diagonal/>
    </border>
    <border>
      <left style="thin">
        <color rgb="FF1F4E78"/>
      </left>
      <right style="thin">
        <color rgb="FF1F4E78"/>
      </right>
      <top style="thin">
        <color rgb="FF1F4E78"/>
      </top>
      <bottom style="thin">
        <color rgb="FF1F4E78"/>
      </bottom>
      <diagonal/>
    </border>
    <border>
      <left/>
      <right/>
      <top style="thin">
        <color auto="1"/>
      </top>
      <bottom/>
      <diagonal/>
    </border>
  </borders>
  <cellStyleXfs count="1">
    <xf numFmtId="0" fontId="0" fillId="0" borderId="0"/>
  </cellStyleXfs>
  <cellXfs count="19">
    <xf numFmtId="0" fontId="0" fillId="0" borderId="0" xfId="0"/>
    <xf numFmtId="0" fontId="1" fillId="2" borderId="0" xfId="0" applyFont="1" applyFill="1" applyAlignment="1">
      <alignment vertical="center"/>
    </xf>
    <xf numFmtId="0" fontId="2" fillId="3" borderId="0" xfId="0" applyFont="1" applyFill="1"/>
    <xf numFmtId="0" fontId="3" fillId="4" borderId="0" xfId="0" applyFont="1" applyFill="1" applyAlignment="1">
      <alignment horizontal="left" vertical="center"/>
    </xf>
    <xf numFmtId="0" fontId="4" fillId="5" borderId="1" xfId="0" applyFont="1" applyFill="1" applyBorder="1" applyAlignment="1">
      <alignment vertical="center" wrapText="1"/>
    </xf>
    <xf numFmtId="0" fontId="5" fillId="0" borderId="0" xfId="0" applyFont="1"/>
    <xf numFmtId="164" fontId="5" fillId="0" borderId="0" xfId="0" applyNumberFormat="1" applyFont="1"/>
    <xf numFmtId="165" fontId="5" fillId="0" borderId="0" xfId="0" applyNumberFormat="1" applyFont="1"/>
    <xf numFmtId="0" fontId="4" fillId="6" borderId="2" xfId="0" applyFont="1" applyFill="1" applyBorder="1"/>
    <xf numFmtId="0" fontId="5" fillId="0" borderId="0" xfId="0" applyFont="1" applyAlignment="1">
      <alignment vertical="top" wrapText="1"/>
    </xf>
    <xf numFmtId="0" fontId="6" fillId="7" borderId="0" xfId="0" applyFont="1" applyFill="1"/>
    <xf numFmtId="166" fontId="5" fillId="0" borderId="0" xfId="0" applyNumberFormat="1" applyFont="1"/>
    <xf numFmtId="167" fontId="6" fillId="7" borderId="0" xfId="0" applyNumberFormat="1" applyFont="1" applyFill="1"/>
    <xf numFmtId="168" fontId="6" fillId="7" borderId="0" xfId="0" applyNumberFormat="1" applyFont="1" applyFill="1"/>
    <xf numFmtId="169" fontId="5" fillId="0" borderId="0" xfId="0" applyNumberFormat="1" applyFont="1"/>
    <xf numFmtId="166" fontId="4" fillId="0" borderId="3" xfId="0" applyNumberFormat="1" applyFont="1" applyBorder="1"/>
    <xf numFmtId="170" fontId="5" fillId="0" borderId="0" xfId="0" applyNumberFormat="1" applyFont="1"/>
    <xf numFmtId="171" fontId="4" fillId="0" borderId="3" xfId="0" applyNumberFormat="1" applyFont="1" applyBorder="1"/>
    <xf numFmtId="0" fontId="4" fillId="6" borderId="0" xfId="0" applyFont="1" applyFill="1" applyAlignment="1">
      <alignment horizontal="center"/>
    </xf>
  </cellXfs>
  <cellStyles count="1">
    <cellStyle name="Normal" xfId="0" builtinId="0"/>
  </cellStyles>
  <dxfs count="2">
    <dxf>
      <font>
        <b/>
      </font>
      <fill>
        <patternFill>
          <bgColor rgb="FFE2F0D9"/>
        </patternFill>
      </fill>
    </dxf>
    <dxf>
      <font>
        <b/>
      </font>
      <fill>
        <patternFill>
          <bgColor rgb="FFFCE4D6"/>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1.xml.rels><?xml version="1.0" encoding="UTF-8" standalone="yes"?>
<Relationships xmlns="http://schemas.openxmlformats.org/package/2006/relationships"><Relationship Id="rId1" Type="http://schemas.openxmlformats.org/officeDocument/2006/relationships/hyperlink" Target="https://www.lseg.com/content/dam/lseg/en_us/documents/investor-relations/financial-results/preliminary-results/rns/lseg-2025-preliminary-results-rns-26feb2026.pdf" TargetMode="External"/><Relationship Id="rId2" Type="http://schemas.openxmlformats.org/officeDocument/2006/relationships/hyperlink" Target="https://www.lseg.com/en/media-centre/press-releases/2026/london-stock-exchange-group-plc-preliminary-results-for-the-year-ended-31-december-2025" TargetMode="External"/><Relationship Id="rId3" Type="http://schemas.openxmlformats.org/officeDocument/2006/relationships/hyperlink" Target="https://www.investegate.co.uk/announcement/rns/london-stock-exchange-group--lseg/transaction-in-own-shares/9449825" TargetMode="External"/><Relationship Id="rId4" Type="http://schemas.openxmlformats.org/officeDocument/2006/relationships/hyperlink" Target="https://ir.theice.com/press/news-details/2026/Intercontinental-Exchange-Reports-Strong-Full-Year-2025-Results/" TargetMode="External"/><Relationship Id="rId5" Type="http://schemas.openxmlformats.org/officeDocument/2006/relationships/hyperlink" Target="https://investor.cmegroup.com/news-releases/news-release-details/cme-group-inc-reports-fourth-consecutive-year-record-annual" TargetMode="External"/><Relationship Id="rId6" Type="http://schemas.openxmlformats.org/officeDocument/2006/relationships/hyperlink" Target="https://ir.nasdaq.com/news-releases/news-release-details/nasdaq-reports-fourth-quarter-and-full-year-2025-results-annual" TargetMode="External"/><Relationship Id="rId7" Type="http://schemas.openxmlformats.org/officeDocument/2006/relationships/hyperlink" Target="https://chartexchange.com/symbol/nyse-ice/historical/" TargetMode="External"/><Relationship Id="rId8" Type="http://schemas.openxmlformats.org/officeDocument/2006/relationships/hyperlink" Target="https://chartexchange.com/symbol/nasdaq-cme/historical/" TargetMode="External"/><Relationship Id="rId9" Type="http://schemas.openxmlformats.org/officeDocument/2006/relationships/hyperlink" Target="https://chartexchange.com/symbol/nasdaq-ndaq/historical/" TargetMode="External"/><Relationship Id="rId10" Type="http://schemas.openxmlformats.org/officeDocument/2006/relationships/hyperlink" Target="https://www.exchangerates.org.uk/historical/find-exchange-rate-history-for-26_02_2026" TargetMode="External"/><Relationship Id="rId11" Type="http://schemas.openxmlformats.org/officeDocument/2006/relationships/hyperlink" Target="https://www.investegate.co.uk/announcement/rns/london-stock-exchange-group--lseg/total-voting-rights/9330335" TargetMode="External"/></Relationships>
</file>

<file path=xl/worksheets/sheet1.xml><?xml version="1.0" encoding="utf-8"?>
<worksheet xmlns="http://schemas.openxmlformats.org/spreadsheetml/2006/main" xmlns:r="http://schemas.openxmlformats.org/officeDocument/2006/relationships">
  <dimension ref="A1:J23"/>
  <sheetViews>
    <sheetView showGridLines="0" tabSelected="1" workbookViewId="0">
      <pane ySplit="4" topLeftCell="A5" activePane="bottomLeft" state="frozen"/>
      <selection pane="bottomLeft"/>
    </sheetView>
  </sheetViews>
  <sheetFormatPr defaultRowHeight="15"/>
  <cols>
    <col min="1" max="1" width="35.7109375" customWidth="1"/>
    <col min="2" max="4" width="20.7109375" customWidth="1"/>
    <col min="5" max="10" width="16.7109375" customWidth="1"/>
  </cols>
  <sheetData>
    <row r="1" spans="1:10" ht="28" customHeight="1">
      <c r="A1" s="1" t="s">
        <v>0</v>
      </c>
      <c r="B1" s="1"/>
      <c r="C1" s="1"/>
      <c r="D1" s="1"/>
      <c r="E1" s="1"/>
      <c r="F1" s="1"/>
      <c r="G1" s="1"/>
      <c r="H1" s="1"/>
      <c r="I1" s="1"/>
      <c r="J1" s="1"/>
    </row>
    <row r="3" spans="1:10">
      <c r="A3" s="2" t="s">
        <v>1</v>
      </c>
      <c r="B3" s="2"/>
      <c r="C3" s="2"/>
      <c r="D3" s="2"/>
      <c r="E3" s="2"/>
      <c r="F3" s="2"/>
      <c r="G3" s="2"/>
      <c r="H3" s="2"/>
      <c r="I3" s="2"/>
      <c r="J3" s="2"/>
    </row>
    <row r="5" spans="1:10" ht="20" customHeight="1">
      <c r="A5" s="3" t="s">
        <v>2</v>
      </c>
      <c r="B5" s="3"/>
      <c r="C5" s="3"/>
      <c r="D5" s="3"/>
      <c r="E5" s="3"/>
      <c r="F5" s="3"/>
      <c r="G5" s="3"/>
      <c r="H5" s="3"/>
      <c r="I5" s="3"/>
      <c r="J5" s="3"/>
    </row>
    <row r="6" spans="1:10">
      <c r="A6" s="4" t="s">
        <v>3</v>
      </c>
      <c r="B6" s="4" t="s">
        <v>4</v>
      </c>
      <c r="C6" s="4" t="s">
        <v>5</v>
      </c>
      <c r="D6" s="4" t="s">
        <v>6</v>
      </c>
    </row>
    <row r="7" spans="1:10">
      <c r="A7" s="5" t="s">
        <v>7</v>
      </c>
      <c r="B7" s="6">
        <f>'DCF'!$B$36</f>
        <v>122.91923200601002</v>
      </c>
      <c r="C7" s="6">
        <f>'Assumptions'!$B$8</f>
        <v>81.266</v>
      </c>
      <c r="D7" s="7">
        <f>B7/C7-1</f>
        <v>0.5125542293949501</v>
      </c>
    </row>
    <row r="8" spans="1:10">
      <c r="A8" s="5" t="s">
        <v>8</v>
      </c>
      <c r="B8" s="6">
        <f>'Comps'!$B$21</f>
        <v>123.95990973363979</v>
      </c>
      <c r="C8" s="6">
        <f>'Assumptions'!$B$8</f>
        <v>81.266</v>
      </c>
      <c r="D8" s="7">
        <f>B8/C8-1</f>
        <v>0.525360048896707</v>
      </c>
    </row>
    <row r="9" spans="1:10">
      <c r="A9" s="5" t="s">
        <v>9</v>
      </c>
      <c r="B9" s="6">
        <f>B7*'Assumptions'!$B$40+B8*'Assumptions'!$B$41</f>
        <v>123.23143532429894</v>
      </c>
      <c r="C9" s="6">
        <f>'Assumptions'!$B$8</f>
        <v>81.266</v>
      </c>
      <c r="D9" s="7">
        <f>B9/C9-1</f>
        <v>0.516395975245477</v>
      </c>
    </row>
    <row r="10" spans="1:10">
      <c r="A10" s="8" t="s">
        <v>10</v>
      </c>
      <c r="B10" s="8" t="str">
        <f>IF(D7&gt;=15%,"POSITIVE / WATCH",IF(D7&lt;=-15%,"NEGATIVE / AVOID","NEUTRAL / WATCH"))</f>
        <v>POSITIVE / WATCH</v>
      </c>
      <c r="C10" s="8">
        <f>'Assumptions'!$B$8</f>
        <v>81.266</v>
      </c>
      <c r="D10" s="8">
        <f>D7</f>
        <v>0.5125542293949501</v>
      </c>
    </row>
    <row r="12" spans="1:10" ht="20" customHeight="1">
      <c r="A12" s="3" t="s">
        <v>11</v>
      </c>
      <c r="B12" s="3"/>
      <c r="C12" s="3"/>
      <c r="D12" s="3"/>
      <c r="E12" s="3"/>
      <c r="F12" s="3"/>
      <c r="G12" s="3"/>
      <c r="H12" s="3"/>
      <c r="I12" s="3"/>
      <c r="J12" s="3"/>
    </row>
    <row r="13" spans="1:10">
      <c r="A13" s="9" t="s">
        <v>12</v>
      </c>
      <c r="B13" s="9"/>
      <c r="C13" s="9"/>
      <c r="D13" s="9"/>
      <c r="E13" s="9"/>
      <c r="F13" s="9"/>
      <c r="G13" s="9"/>
      <c r="H13" s="9"/>
      <c r="I13" s="9"/>
      <c r="J13" s="9"/>
    </row>
    <row r="14" spans="1:10">
      <c r="A14" s="9"/>
      <c r="B14" s="9"/>
      <c r="C14" s="9"/>
      <c r="D14" s="9"/>
      <c r="E14" s="9"/>
      <c r="F14" s="9"/>
      <c r="G14" s="9"/>
      <c r="H14" s="9"/>
      <c r="I14" s="9"/>
      <c r="J14" s="9"/>
    </row>
    <row r="15" spans="1:10">
      <c r="A15" s="9"/>
      <c r="B15" s="9"/>
      <c r="C15" s="9"/>
      <c r="D15" s="9"/>
      <c r="E15" s="9"/>
      <c r="F15" s="9"/>
      <c r="G15" s="9"/>
      <c r="H15" s="9"/>
      <c r="I15" s="9"/>
      <c r="J15" s="9"/>
    </row>
    <row r="16" spans="1:10">
      <c r="A16" s="9"/>
      <c r="B16" s="9"/>
      <c r="C16" s="9"/>
      <c r="D16" s="9"/>
      <c r="E16" s="9"/>
      <c r="F16" s="9"/>
      <c r="G16" s="9"/>
      <c r="H16" s="9"/>
      <c r="I16" s="9"/>
      <c r="J16" s="9"/>
    </row>
    <row r="17" spans="1:10">
      <c r="A17" s="9"/>
      <c r="B17" s="9"/>
      <c r="C17" s="9"/>
      <c r="D17" s="9"/>
      <c r="E17" s="9"/>
      <c r="F17" s="9"/>
      <c r="G17" s="9"/>
      <c r="H17" s="9"/>
      <c r="I17" s="9"/>
      <c r="J17" s="9"/>
    </row>
    <row r="19" spans="1:10" ht="20" customHeight="1">
      <c r="A19" s="3" t="s">
        <v>13</v>
      </c>
      <c r="B19" s="3"/>
      <c r="C19" s="3"/>
      <c r="D19" s="3"/>
      <c r="E19" s="3"/>
      <c r="F19" s="3"/>
      <c r="G19" s="3"/>
      <c r="H19" s="3"/>
      <c r="I19" s="3"/>
      <c r="J19" s="3"/>
    </row>
    <row r="20" spans="1:10">
      <c r="A20" s="9" t="s">
        <v>14</v>
      </c>
      <c r="B20" s="9"/>
      <c r="C20" s="9"/>
      <c r="D20" s="9"/>
      <c r="E20" s="9"/>
      <c r="F20" s="9"/>
      <c r="G20" s="9"/>
      <c r="H20" s="9"/>
      <c r="I20" s="9"/>
      <c r="J20" s="9"/>
    </row>
    <row r="21" spans="1:10">
      <c r="A21" s="9"/>
      <c r="B21" s="9"/>
      <c r="C21" s="9"/>
      <c r="D21" s="9"/>
      <c r="E21" s="9"/>
      <c r="F21" s="9"/>
      <c r="G21" s="9"/>
      <c r="H21" s="9"/>
      <c r="I21" s="9"/>
      <c r="J21" s="9"/>
    </row>
    <row r="22" spans="1:10">
      <c r="A22" s="9"/>
      <c r="B22" s="9"/>
      <c r="C22" s="9"/>
      <c r="D22" s="9"/>
      <c r="E22" s="9"/>
      <c r="F22" s="9"/>
      <c r="G22" s="9"/>
      <c r="H22" s="9"/>
      <c r="I22" s="9"/>
      <c r="J22" s="9"/>
    </row>
    <row r="23" spans="1:10">
      <c r="A23" s="9"/>
      <c r="B23" s="9"/>
      <c r="C23" s="9"/>
      <c r="D23" s="9"/>
      <c r="E23" s="9"/>
      <c r="F23" s="9"/>
      <c r="G23" s="9"/>
      <c r="H23" s="9"/>
      <c r="I23" s="9"/>
      <c r="J23" s="9"/>
    </row>
  </sheetData>
  <mergeCells count="7">
    <mergeCell ref="A1:J1"/>
    <mergeCell ref="A3:J3"/>
    <mergeCell ref="A5:J5"/>
    <mergeCell ref="A12:J12"/>
    <mergeCell ref="A13:J17"/>
    <mergeCell ref="A19:J19"/>
    <mergeCell ref="A20:J23"/>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42"/>
  <sheetViews>
    <sheetView showGridLines="0" workbookViewId="0">
      <pane ySplit="4" topLeftCell="A5" activePane="bottomLeft" state="frozen"/>
      <selection pane="bottomLeft"/>
    </sheetView>
  </sheetViews>
  <sheetFormatPr defaultRowHeight="15"/>
  <cols>
    <col min="1" max="1" width="31.7109375" customWidth="1"/>
    <col min="2" max="2" width="18.7109375" customWidth="1"/>
    <col min="3" max="3" width="48.7109375" customWidth="1"/>
    <col min="4" max="8" width="17.7109375" customWidth="1"/>
  </cols>
  <sheetData>
    <row r="1" spans="1:8" ht="28" customHeight="1">
      <c r="A1" s="1" t="s">
        <v>15</v>
      </c>
      <c r="B1" s="1"/>
      <c r="C1" s="1"/>
      <c r="D1" s="1"/>
      <c r="E1" s="1"/>
      <c r="F1" s="1"/>
      <c r="G1" s="1"/>
      <c r="H1" s="1"/>
    </row>
    <row r="3" spans="1:8">
      <c r="A3" s="2" t="s">
        <v>16</v>
      </c>
      <c r="B3" s="2"/>
      <c r="C3" s="2"/>
      <c r="D3" s="2"/>
      <c r="E3" s="2"/>
      <c r="F3" s="2"/>
      <c r="G3" s="2"/>
      <c r="H3" s="2"/>
    </row>
    <row r="4" spans="1:8" ht="20" customHeight="1">
      <c r="A4" s="3" t="s">
        <v>17</v>
      </c>
      <c r="B4" s="3"/>
      <c r="C4" s="3"/>
      <c r="D4" s="3"/>
      <c r="E4" s="3"/>
      <c r="F4" s="3"/>
      <c r="G4" s="3"/>
      <c r="H4" s="3"/>
    </row>
    <row r="5" spans="1:8">
      <c r="A5" s="5" t="s">
        <v>18</v>
      </c>
      <c r="B5" s="10" t="s">
        <v>19</v>
      </c>
      <c r="D5" s="9" t="s">
        <v>29</v>
      </c>
      <c r="E5" s="9"/>
      <c r="F5" s="9"/>
      <c r="G5" s="9"/>
      <c r="H5" s="9"/>
    </row>
    <row r="6" spans="1:8">
      <c r="A6" s="5" t="s">
        <v>20</v>
      </c>
      <c r="B6" s="5" t="s">
        <v>21</v>
      </c>
      <c r="D6" s="9"/>
      <c r="E6" s="9"/>
      <c r="F6" s="9"/>
      <c r="G6" s="9"/>
      <c r="H6" s="9"/>
    </row>
    <row r="7" spans="1:8">
      <c r="A7" s="5" t="s">
        <v>22</v>
      </c>
      <c r="B7" s="5" t="s">
        <v>23</v>
      </c>
      <c r="D7" s="9"/>
      <c r="E7" s="9"/>
      <c r="F7" s="9"/>
      <c r="G7" s="9"/>
      <c r="H7" s="9"/>
    </row>
    <row r="8" spans="1:8">
      <c r="A8" s="5" t="s">
        <v>24</v>
      </c>
      <c r="B8" s="6">
        <v>81.26600000000001</v>
      </c>
      <c r="D8" s="9"/>
      <c r="E8" s="9"/>
      <c r="F8" s="9"/>
      <c r="G8" s="9"/>
      <c r="H8" s="9"/>
    </row>
    <row r="9" spans="1:8">
      <c r="A9" s="5" t="s">
        <v>25</v>
      </c>
      <c r="B9" s="11">
        <v>505.332519</v>
      </c>
    </row>
    <row r="10" spans="1:8">
      <c r="A10" s="5" t="s">
        <v>26</v>
      </c>
      <c r="B10" s="11">
        <v>8175</v>
      </c>
      <c r="D10" s="9" t="s">
        <v>30</v>
      </c>
      <c r="E10" s="9"/>
      <c r="F10" s="9"/>
      <c r="G10" s="9"/>
      <c r="H10" s="9"/>
    </row>
    <row r="11" spans="1:8">
      <c r="A11" s="5" t="s">
        <v>27</v>
      </c>
      <c r="B11" s="10">
        <v>0.045</v>
      </c>
      <c r="D11" s="9"/>
      <c r="E11" s="9"/>
      <c r="F11" s="9"/>
      <c r="G11" s="9"/>
      <c r="H11" s="9"/>
    </row>
    <row r="12" spans="1:8">
      <c r="A12" s="5" t="s">
        <v>28</v>
      </c>
      <c r="B12" s="10">
        <v>0.045</v>
      </c>
      <c r="D12" s="9"/>
      <c r="E12" s="9"/>
      <c r="F12" s="9"/>
      <c r="G12" s="9"/>
      <c r="H12" s="9"/>
    </row>
    <row r="14" spans="1:8" ht="20" customHeight="1">
      <c r="A14" s="3" t="s">
        <v>31</v>
      </c>
      <c r="B14" s="3"/>
      <c r="C14" s="3"/>
      <c r="D14" s="3"/>
      <c r="E14" s="3"/>
      <c r="F14" s="3"/>
      <c r="G14" s="3"/>
      <c r="H14" s="3"/>
    </row>
    <row r="15" spans="1:8">
      <c r="A15" s="5" t="s">
        <v>32</v>
      </c>
      <c r="B15" s="12">
        <v>0.9</v>
      </c>
    </row>
    <row r="16" spans="1:8">
      <c r="A16" s="5" t="s">
        <v>33</v>
      </c>
      <c r="B16" s="13">
        <v>0.045</v>
      </c>
    </row>
    <row r="17" spans="1:8">
      <c r="A17" s="5" t="s">
        <v>34</v>
      </c>
      <c r="B17" s="13">
        <v>0.245</v>
      </c>
    </row>
    <row r="18" spans="1:8">
      <c r="A18" s="5" t="s">
        <v>35</v>
      </c>
      <c r="B18" s="14">
        <f>B8*B9</f>
        <v>41066.352489054</v>
      </c>
    </row>
    <row r="19" spans="1:8">
      <c r="A19" s="5" t="s">
        <v>36</v>
      </c>
      <c r="B19" s="7">
        <f>B10/(B10+B18)</f>
        <v>0.1660189979919265</v>
      </c>
    </row>
    <row r="20" spans="1:8">
      <c r="A20" s="5" t="s">
        <v>37</v>
      </c>
      <c r="B20" s="7">
        <f>B18/(B10+B18)</f>
        <v>0.8339810020080736</v>
      </c>
    </row>
    <row r="21" spans="1:8">
      <c r="A21" s="5" t="s">
        <v>38</v>
      </c>
      <c r="B21" s="7">
        <f>B11+B15*B12</f>
        <v>0.08549999999999999</v>
      </c>
    </row>
    <row r="22" spans="1:8">
      <c r="A22" s="5" t="s">
        <v>39</v>
      </c>
      <c r="B22" s="7">
        <f>B16*(1-B17)</f>
        <v>0.033975</v>
      </c>
    </row>
    <row r="23" spans="1:8">
      <c r="A23" s="5" t="s">
        <v>31</v>
      </c>
      <c r="B23" s="7">
        <f>B20*B21+B19*B22</f>
        <v>0.07694587112846599</v>
      </c>
    </row>
    <row r="25" spans="1:8" ht="20" customHeight="1">
      <c r="A25" s="3" t="s">
        <v>40</v>
      </c>
      <c r="B25" s="3"/>
      <c r="C25" s="3"/>
      <c r="D25" s="3"/>
      <c r="E25" s="3"/>
      <c r="F25" s="3"/>
      <c r="G25" s="3"/>
      <c r="H25" s="3"/>
    </row>
    <row r="26" spans="1:8">
      <c r="A26" s="4" t="s">
        <v>41</v>
      </c>
      <c r="B26" s="4" t="s">
        <v>42</v>
      </c>
      <c r="C26" s="4" t="s">
        <v>43</v>
      </c>
      <c r="D26" s="4" t="s">
        <v>44</v>
      </c>
      <c r="E26" s="4" t="s">
        <v>45</v>
      </c>
      <c r="F26" s="4" t="s">
        <v>46</v>
      </c>
      <c r="G26" s="4" t="s">
        <v>47</v>
      </c>
      <c r="H26" s="4" t="s">
        <v>48</v>
      </c>
    </row>
    <row r="27" spans="1:8">
      <c r="A27" s="5" t="s">
        <v>49</v>
      </c>
      <c r="B27" s="13">
        <v>0.045</v>
      </c>
      <c r="C27" s="13">
        <v>0.045</v>
      </c>
      <c r="D27" s="13">
        <v>0.04</v>
      </c>
      <c r="E27" s="13">
        <v>0.04</v>
      </c>
      <c r="F27" s="13">
        <v>0.035</v>
      </c>
      <c r="G27" s="13">
        <v>0.515</v>
      </c>
      <c r="H27" s="13">
        <v>0.02</v>
      </c>
    </row>
    <row r="28" spans="1:8">
      <c r="A28" s="5" t="s">
        <v>19</v>
      </c>
      <c r="B28" s="13">
        <v>0.07000000000000001</v>
      </c>
      <c r="C28" s="13">
        <v>0.065</v>
      </c>
      <c r="D28" s="13">
        <v>0.06</v>
      </c>
      <c r="E28" s="13">
        <v>0.06</v>
      </c>
      <c r="F28" s="13">
        <v>0.055</v>
      </c>
      <c r="G28" s="13">
        <v>0.54</v>
      </c>
      <c r="H28" s="13">
        <v>0.025</v>
      </c>
    </row>
    <row r="29" spans="1:8">
      <c r="A29" s="5" t="s">
        <v>50</v>
      </c>
      <c r="B29" s="13">
        <v>0.08500000000000001</v>
      </c>
      <c r="C29" s="13">
        <v>0.08</v>
      </c>
      <c r="D29" s="13">
        <v>0.075</v>
      </c>
      <c r="E29" s="13">
        <v>0.07000000000000001</v>
      </c>
      <c r="F29" s="13">
        <v>0.065</v>
      </c>
      <c r="G29" s="13">
        <v>0.5600000000000001</v>
      </c>
      <c r="H29" s="13">
        <v>0.03</v>
      </c>
    </row>
    <row r="30" spans="1:8">
      <c r="A30" s="15" t="s">
        <v>51</v>
      </c>
      <c r="B30" s="7">
        <f>INDEX(B$27:B$29,MATCH($B$5,$A$27:$A$29,0))</f>
        <v>0.07</v>
      </c>
      <c r="C30" s="7">
        <f>INDEX(C$27:C$29,MATCH($B$5,$A$27:$A$29,0))</f>
        <v>0.065</v>
      </c>
      <c r="D30" s="7">
        <f>INDEX(D$27:D$29,MATCH($B$5,$A$27:$A$29,0))</f>
        <v>0.06</v>
      </c>
      <c r="E30" s="7">
        <f>INDEX(E$27:E$29,MATCH($B$5,$A$27:$A$29,0))</f>
        <v>0.06</v>
      </c>
      <c r="F30" s="7">
        <f>INDEX(F$27:F$29,MATCH($B$5,$A$27:$A$29,0))</f>
        <v>0.055</v>
      </c>
      <c r="G30" s="7">
        <f>INDEX(G$27:G$29,MATCH($B$5,$A$27:$A$29,0))</f>
        <v>0.54</v>
      </c>
      <c r="H30" s="7">
        <f>INDEX(H$27:H$29,MATCH($B$5,$A$27:$A$29,0))</f>
        <v>0.025</v>
      </c>
    </row>
    <row r="32" spans="1:8" ht="20" customHeight="1">
      <c r="A32" s="3" t="s">
        <v>52</v>
      </c>
      <c r="B32" s="3"/>
      <c r="C32" s="3"/>
      <c r="D32" s="3"/>
      <c r="E32" s="3"/>
      <c r="F32" s="3"/>
      <c r="G32" s="3"/>
      <c r="H32" s="3"/>
    </row>
    <row r="33" spans="1:8">
      <c r="A33" s="4" t="s">
        <v>53</v>
      </c>
      <c r="B33" s="4" t="s">
        <v>54</v>
      </c>
      <c r="C33" s="4" t="s">
        <v>55</v>
      </c>
      <c r="D33" s="4" t="s">
        <v>64</v>
      </c>
      <c r="E33" s="4" t="s">
        <v>65</v>
      </c>
      <c r="F33" s="4" t="s">
        <v>66</v>
      </c>
      <c r="G33" s="4" t="s">
        <v>67</v>
      </c>
      <c r="H33" s="4" t="s">
        <v>68</v>
      </c>
    </row>
    <row r="34" spans="1:8">
      <c r="A34" s="5" t="s">
        <v>56</v>
      </c>
      <c r="B34" s="13">
        <v>0.113</v>
      </c>
      <c r="C34" s="9" t="s">
        <v>57</v>
      </c>
    </row>
    <row r="35" spans="1:8">
      <c r="A35" s="5" t="s">
        <v>58</v>
      </c>
      <c r="B35" s="7">
        <f>D35</f>
        <v>0.095</v>
      </c>
      <c r="C35" s="9" t="s">
        <v>59</v>
      </c>
      <c r="D35" s="13">
        <v>0.095</v>
      </c>
      <c r="E35" s="13">
        <v>0.09</v>
      </c>
      <c r="F35" s="13">
        <v>0.08500000000000001</v>
      </c>
      <c r="G35" s="13">
        <v>0.08</v>
      </c>
      <c r="H35" s="13">
        <v>0.08</v>
      </c>
    </row>
    <row r="36" spans="1:8">
      <c r="A36" s="5" t="s">
        <v>60</v>
      </c>
      <c r="B36" s="13">
        <v>0.015</v>
      </c>
      <c r="C36" s="9" t="s">
        <v>61</v>
      </c>
    </row>
    <row r="37" spans="1:8">
      <c r="A37" s="5" t="s">
        <v>62</v>
      </c>
      <c r="B37" s="13">
        <v>0.245</v>
      </c>
      <c r="C37" s="9" t="s">
        <v>63</v>
      </c>
    </row>
    <row r="38" spans="1:8">
      <c r="A38" s="5" t="s">
        <v>48</v>
      </c>
      <c r="B38" s="7">
        <f>H30</f>
        <v>0.025</v>
      </c>
      <c r="C38" s="5" t="s">
        <v>69</v>
      </c>
    </row>
    <row r="39" spans="1:8" ht="20" customHeight="1">
      <c r="A39" s="3" t="s">
        <v>70</v>
      </c>
      <c r="B39" s="3"/>
      <c r="C39" s="3"/>
      <c r="D39" s="3"/>
      <c r="E39" s="3"/>
      <c r="F39" s="3"/>
      <c r="G39" s="3"/>
      <c r="H39" s="3"/>
    </row>
    <row r="40" spans="1:8">
      <c r="A40" s="5" t="s">
        <v>71</v>
      </c>
      <c r="B40" s="13">
        <v>0.7</v>
      </c>
      <c r="C40" s="5" t="s">
        <v>72</v>
      </c>
    </row>
    <row r="41" spans="1:8">
      <c r="A41" s="5" t="s">
        <v>73</v>
      </c>
      <c r="B41" s="13">
        <v>0.3</v>
      </c>
      <c r="C41" s="5" t="s">
        <v>74</v>
      </c>
    </row>
    <row r="42" spans="1:8">
      <c r="A42" s="5" t="s">
        <v>75</v>
      </c>
      <c r="B42" s="7">
        <f>SUM(B40:B41)</f>
        <v>1.0</v>
      </c>
    </row>
  </sheetData>
  <mergeCells count="9">
    <mergeCell ref="A1:H1"/>
    <mergeCell ref="A3:H3"/>
    <mergeCell ref="A4:H4"/>
    <mergeCell ref="D5:H8"/>
    <mergeCell ref="D10:H12"/>
    <mergeCell ref="A14:H14"/>
    <mergeCell ref="A25:H25"/>
    <mergeCell ref="A32:H32"/>
    <mergeCell ref="A39:H39"/>
  </mergeCells>
  <dataValidations count="1">
    <dataValidation type="list" allowBlank="1" showInputMessage="1" showErrorMessage="1" sqref="B5">
      <formula1>"Base,Upside,Downside"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27"/>
  <sheetViews>
    <sheetView showGridLines="0" workbookViewId="0">
      <pane ySplit="4" topLeftCell="A5" activePane="bottomLeft" state="frozen"/>
      <selection pane="bottomLeft"/>
    </sheetView>
  </sheetViews>
  <sheetFormatPr defaultRowHeight="15"/>
  <cols>
    <col min="1" max="2" width="30.7109375" customWidth="1"/>
    <col min="3" max="3" width="32.7109375" customWidth="1"/>
    <col min="4" max="6" width="14.7109375" customWidth="1"/>
    <col min="7" max="7" width="28.7109375" customWidth="1"/>
  </cols>
  <sheetData>
    <row r="1" spans="1:7" ht="28" customHeight="1">
      <c r="A1" s="1" t="s">
        <v>76</v>
      </c>
      <c r="B1" s="1"/>
      <c r="C1" s="1"/>
      <c r="D1" s="1"/>
      <c r="E1" s="1"/>
      <c r="F1" s="1"/>
      <c r="G1" s="1"/>
    </row>
    <row r="3" spans="1:7">
      <c r="A3" s="2" t="s">
        <v>77</v>
      </c>
      <c r="B3" s="2"/>
      <c r="C3" s="2"/>
      <c r="D3" s="2"/>
      <c r="E3" s="2"/>
      <c r="F3" s="2"/>
      <c r="G3" s="2"/>
    </row>
    <row r="5" spans="1:7" ht="20" customHeight="1">
      <c r="A5" s="3" t="s">
        <v>78</v>
      </c>
      <c r="B5" s="3"/>
      <c r="C5" s="3"/>
      <c r="D5" s="3"/>
      <c r="E5" s="3"/>
      <c r="F5" s="3"/>
      <c r="G5" s="3"/>
    </row>
    <row r="6" spans="1:7">
      <c r="A6" s="4" t="s">
        <v>79</v>
      </c>
      <c r="B6" s="4" t="s">
        <v>80</v>
      </c>
      <c r="C6" s="4" t="s">
        <v>81</v>
      </c>
      <c r="D6" s="4" t="s">
        <v>82</v>
      </c>
    </row>
    <row r="7" spans="1:7">
      <c r="A7" s="11" t="s">
        <v>83</v>
      </c>
      <c r="B7" s="11">
        <v>8061</v>
      </c>
      <c r="C7" s="11">
        <v>8494</v>
      </c>
      <c r="D7" s="11">
        <v>8986</v>
      </c>
    </row>
    <row r="8" spans="1:7">
      <c r="A8" s="11" t="s">
        <v>84</v>
      </c>
      <c r="B8" s="11"/>
      <c r="C8" s="7">
        <f>C7/B7-1</f>
        <v>0.05371541992308648</v>
      </c>
      <c r="D8" s="7">
        <f>D7/C7-1</f>
        <v>0.057923239934071</v>
      </c>
    </row>
    <row r="9" spans="1:7">
      <c r="A9" s="11" t="s">
        <v>85</v>
      </c>
      <c r="B9" s="11">
        <v>3801</v>
      </c>
      <c r="C9" s="11">
        <v>4148</v>
      </c>
      <c r="D9" s="11">
        <v>4523</v>
      </c>
    </row>
    <row r="10" spans="1:7">
      <c r="A10" s="11" t="s">
        <v>86</v>
      </c>
      <c r="B10" s="7">
        <f>B9/B7</f>
        <v>0.47152958689988833</v>
      </c>
      <c r="C10" s="7">
        <f>C9/C7</f>
        <v>0.4883447139157052</v>
      </c>
      <c r="D10" s="7">
        <f>D9/D7</f>
        <v>0.5033385265969286</v>
      </c>
    </row>
    <row r="11" spans="1:7">
      <c r="A11" s="11" t="s">
        <v>87</v>
      </c>
      <c r="B11" s="11">
        <v>2909</v>
      </c>
      <c r="C11" s="11">
        <v>3165</v>
      </c>
      <c r="D11" s="11">
        <v>3506</v>
      </c>
    </row>
    <row r="12" spans="1:7">
      <c r="A12" s="11" t="s">
        <v>88</v>
      </c>
      <c r="B12" s="11">
        <f>B9-B11</f>
        <v>892</v>
      </c>
      <c r="C12" s="11">
        <f>C9-C11</f>
        <v>983</v>
      </c>
      <c r="D12" s="11">
        <f>D9-D11</f>
        <v>1017</v>
      </c>
    </row>
    <row r="13" spans="1:7">
      <c r="A13" s="11" t="s">
        <v>89</v>
      </c>
      <c r="B13" s="11"/>
      <c r="C13" s="11">
        <v>3945</v>
      </c>
      <c r="D13" s="11">
        <v>4365</v>
      </c>
    </row>
    <row r="14" spans="1:7">
      <c r="A14" s="11" t="s">
        <v>90</v>
      </c>
      <c r="B14" s="11"/>
      <c r="C14" s="11">
        <v>-50</v>
      </c>
      <c r="D14" s="11">
        <v>-419</v>
      </c>
    </row>
    <row r="15" spans="1:7">
      <c r="A15" s="11" t="s">
        <v>91</v>
      </c>
      <c r="B15" s="11"/>
      <c r="C15" s="11">
        <v>-957</v>
      </c>
      <c r="D15" s="11">
        <v>-919</v>
      </c>
    </row>
    <row r="16" spans="1:7">
      <c r="A16" s="11" t="s">
        <v>92</v>
      </c>
      <c r="B16" s="11"/>
      <c r="C16" s="11">
        <v>2184</v>
      </c>
      <c r="D16" s="11">
        <v>2445</v>
      </c>
    </row>
    <row r="17" spans="1:7">
      <c r="A17" s="11" t="s">
        <v>26</v>
      </c>
      <c r="B17" s="11"/>
      <c r="C17" s="11">
        <v>7178</v>
      </c>
      <c r="D17" s="11">
        <v>8175</v>
      </c>
    </row>
    <row r="18" spans="1:7">
      <c r="A18" s="11" t="s">
        <v>93</v>
      </c>
      <c r="B18" s="11"/>
      <c r="C18" s="11"/>
      <c r="D18" s="11">
        <v>510.408075</v>
      </c>
    </row>
    <row r="20" spans="1:7" ht="20" customHeight="1">
      <c r="A20" s="3" t="s">
        <v>94</v>
      </c>
      <c r="B20" s="3"/>
      <c r="C20" s="3"/>
      <c r="D20" s="3"/>
      <c r="E20" s="3"/>
      <c r="F20" s="3"/>
      <c r="G20" s="3"/>
    </row>
    <row r="21" spans="1:7">
      <c r="A21" s="4" t="s">
        <v>95</v>
      </c>
      <c r="B21" s="4" t="s">
        <v>96</v>
      </c>
      <c r="C21" s="4" t="s">
        <v>97</v>
      </c>
      <c r="D21" s="4" t="s">
        <v>98</v>
      </c>
      <c r="E21" s="4" t="s">
        <v>99</v>
      </c>
      <c r="F21" s="4" t="s">
        <v>100</v>
      </c>
      <c r="G21" s="4" t="s">
        <v>101</v>
      </c>
    </row>
    <row r="22" spans="1:7">
      <c r="A22" s="9" t="s">
        <v>102</v>
      </c>
      <c r="B22" s="9" t="s">
        <v>103</v>
      </c>
      <c r="C22" s="9" t="s">
        <v>104</v>
      </c>
      <c r="D22" s="9" t="s">
        <v>105</v>
      </c>
      <c r="E22" s="9" t="s">
        <v>106</v>
      </c>
      <c r="F22" s="9" t="s">
        <v>107</v>
      </c>
      <c r="G22" s="9" t="s">
        <v>108</v>
      </c>
    </row>
    <row r="23" spans="1:7">
      <c r="A23" s="9" t="s">
        <v>109</v>
      </c>
      <c r="B23" s="9" t="s">
        <v>110</v>
      </c>
      <c r="C23" s="9" t="s">
        <v>111</v>
      </c>
      <c r="D23" s="9" t="s">
        <v>105</v>
      </c>
      <c r="E23" s="9" t="s">
        <v>106</v>
      </c>
      <c r="F23" s="9" t="s">
        <v>107</v>
      </c>
      <c r="G23" s="9" t="s">
        <v>112</v>
      </c>
    </row>
    <row r="24" spans="1:7">
      <c r="A24" s="9" t="s">
        <v>113</v>
      </c>
      <c r="B24" s="9" t="s">
        <v>114</v>
      </c>
      <c r="C24" s="9" t="s">
        <v>115</v>
      </c>
      <c r="D24" s="9" t="s">
        <v>105</v>
      </c>
      <c r="E24" s="9" t="s">
        <v>106</v>
      </c>
      <c r="F24" s="9" t="s">
        <v>107</v>
      </c>
      <c r="G24" s="9" t="s">
        <v>116</v>
      </c>
    </row>
    <row r="25" spans="1:7">
      <c r="A25" s="9" t="s">
        <v>117</v>
      </c>
      <c r="B25" s="9" t="s">
        <v>118</v>
      </c>
      <c r="C25" s="9" t="s">
        <v>119</v>
      </c>
      <c r="D25" s="9" t="s">
        <v>105</v>
      </c>
      <c r="E25" s="9" t="s">
        <v>106</v>
      </c>
      <c r="F25" s="9" t="s">
        <v>107</v>
      </c>
      <c r="G25" s="9" t="s">
        <v>120</v>
      </c>
    </row>
    <row r="26" spans="1:7">
      <c r="A26" s="9" t="s">
        <v>121</v>
      </c>
      <c r="B26" s="9" t="s">
        <v>122</v>
      </c>
      <c r="C26" s="9" t="s">
        <v>123</v>
      </c>
      <c r="D26" s="9" t="s">
        <v>124</v>
      </c>
      <c r="E26" s="9" t="s">
        <v>106</v>
      </c>
      <c r="F26" s="9" t="s">
        <v>107</v>
      </c>
      <c r="G26" s="9" t="s">
        <v>125</v>
      </c>
    </row>
    <row r="27" spans="1:7">
      <c r="A27" s="9" t="s">
        <v>126</v>
      </c>
      <c r="B27" s="9" t="s">
        <v>127</v>
      </c>
      <c r="C27" s="9" t="s">
        <v>128</v>
      </c>
      <c r="D27" s="9" t="s">
        <v>105</v>
      </c>
      <c r="E27" s="9" t="s">
        <v>106</v>
      </c>
      <c r="F27" s="9" t="s">
        <v>129</v>
      </c>
      <c r="G27" s="9" t="s">
        <v>130</v>
      </c>
    </row>
  </sheetData>
  <mergeCells count="4">
    <mergeCell ref="A1:G1"/>
    <mergeCell ref="A3:G3"/>
    <mergeCell ref="A5:G5"/>
    <mergeCell ref="A20:G20"/>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38"/>
  <sheetViews>
    <sheetView showGridLines="0" workbookViewId="0">
      <pane ySplit="4" topLeftCell="A5" activePane="bottomLeft" state="frozen"/>
      <selection pane="bottomLeft"/>
    </sheetView>
  </sheetViews>
  <sheetFormatPr defaultRowHeight="15"/>
  <cols>
    <col min="1" max="1" width="30.7109375" customWidth="1"/>
    <col min="2" max="7" width="18.7109375" customWidth="1"/>
  </cols>
  <sheetData>
    <row r="1" spans="1:7" ht="28" customHeight="1">
      <c r="A1" s="1" t="s">
        <v>131</v>
      </c>
      <c r="B1" s="1"/>
      <c r="C1" s="1"/>
      <c r="D1" s="1"/>
      <c r="E1" s="1"/>
      <c r="F1" s="1"/>
      <c r="G1" s="1"/>
    </row>
    <row r="3" spans="1:7">
      <c r="A3" s="2" t="s">
        <v>132</v>
      </c>
      <c r="B3" s="2"/>
      <c r="C3" s="2"/>
      <c r="D3" s="2"/>
      <c r="E3" s="2"/>
      <c r="F3" s="2"/>
      <c r="G3" s="2"/>
    </row>
    <row r="5" spans="1:7" ht="20" customHeight="1">
      <c r="A5" s="3" t="s">
        <v>133</v>
      </c>
      <c r="B5" s="3"/>
      <c r="C5" s="3"/>
      <c r="D5" s="3"/>
      <c r="E5" s="3"/>
      <c r="F5" s="3"/>
      <c r="G5" s="3"/>
    </row>
    <row r="6" spans="1:7">
      <c r="A6" s="4" t="s">
        <v>79</v>
      </c>
      <c r="B6" s="4" t="s">
        <v>82</v>
      </c>
      <c r="C6" s="4" t="s">
        <v>64</v>
      </c>
      <c r="D6" s="4" t="s">
        <v>65</v>
      </c>
      <c r="E6" s="4" t="s">
        <v>66</v>
      </c>
      <c r="F6" s="4" t="s">
        <v>67</v>
      </c>
      <c r="G6" s="4" t="s">
        <v>68</v>
      </c>
    </row>
    <row r="7" spans="1:7">
      <c r="A7" s="5" t="s">
        <v>134</v>
      </c>
      <c r="B7" s="7">
        <v>0.057923239934071</v>
      </c>
      <c r="C7" s="7">
        <f>'Assumptions'!B$30</f>
        <v>0.07</v>
      </c>
      <c r="D7" s="7">
        <f>'Assumptions'!C$30</f>
        <v>0.065</v>
      </c>
      <c r="E7" s="7">
        <f>'Assumptions'!D$30</f>
        <v>0.06</v>
      </c>
      <c r="F7" s="7">
        <f>'Assumptions'!E$30</f>
        <v>0.06</v>
      </c>
      <c r="G7" s="7">
        <f>'Assumptions'!F$30</f>
        <v>0.055</v>
      </c>
    </row>
    <row r="8" spans="1:7">
      <c r="A8" s="5" t="s">
        <v>135</v>
      </c>
      <c r="B8" s="11">
        <v>8986</v>
      </c>
      <c r="C8" s="11">
        <f>B8*(1+C7)</f>
        <v>9615.02</v>
      </c>
      <c r="D8" s="11">
        <f>C8*(1+D7)</f>
        <v>10239.9963</v>
      </c>
      <c r="E8" s="11">
        <f>D8*(1+E7)</f>
        <v>10854.396078000002</v>
      </c>
      <c r="F8" s="11">
        <f>E8*(1+F7)</f>
        <v>11505.659842680003</v>
      </c>
      <c r="G8" s="11">
        <f>F8*(1+G7)</f>
        <v>12138.471134027403</v>
      </c>
    </row>
    <row r="9" spans="1:7">
      <c r="A9" s="5" t="s">
        <v>136</v>
      </c>
      <c r="B9" s="7">
        <v>0.5033385265969286</v>
      </c>
      <c r="C9" s="7">
        <f>$B$9+('Assumptions'!$G$30-$B$9)*(1/5)</f>
        <v>0.5106708212775428</v>
      </c>
      <c r="D9" s="7">
        <f>$B$9+('Assumptions'!$G$30-$B$9)*(2/5)</f>
        <v>0.5180031159581571</v>
      </c>
      <c r="E9" s="7">
        <f>$B$9+('Assumptions'!$G$30-$B$9)*(3/5)</f>
        <v>0.5253354106387713</v>
      </c>
      <c r="F9" s="7">
        <f>$B$9+('Assumptions'!$G$30-$B$9)*(4/5)</f>
        <v>0.5326677053193856</v>
      </c>
      <c r="G9" s="7">
        <f>$B$9+('Assumptions'!$G$30-$B$9)*(5/5)</f>
        <v>0.5399999999999998</v>
      </c>
    </row>
    <row r="10" spans="1:7">
      <c r="A10" s="5" t="s">
        <v>85</v>
      </c>
      <c r="B10" s="11">
        <v>4523</v>
      </c>
      <c r="C10" s="11">
        <f>C8*C9</f>
        <v>4910.11016</v>
      </c>
      <c r="D10" s="11">
        <f>D8*D9</f>
        <v>5304.349990799999</v>
      </c>
      <c r="E10" s="11">
        <f>E8*E9</f>
        <v>5702.198620872</v>
      </c>
      <c r="F10" s="11">
        <f>F8*F9</f>
        <v>6128.69342658576</v>
      </c>
      <c r="G10" s="11">
        <f>G8*G9</f>
        <v>6554.774412374795</v>
      </c>
    </row>
    <row r="11" spans="1:7">
      <c r="A11" s="5" t="s">
        <v>137</v>
      </c>
      <c r="B11" s="11">
        <v>1017</v>
      </c>
      <c r="C11" s="11">
        <f>C8*'Assumptions'!$B$34</f>
        <v>1086.49726</v>
      </c>
      <c r="D11" s="11">
        <f>D8*'Assumptions'!$B$34</f>
        <v>1157.1195819000002</v>
      </c>
      <c r="E11" s="11">
        <f>E8*'Assumptions'!$B$34</f>
        <v>1226.5467568140002</v>
      </c>
      <c r="F11" s="11">
        <f>F8*'Assumptions'!$B$34</f>
        <v>1300.1395622228404</v>
      </c>
      <c r="G11" s="11">
        <f>G8*'Assumptions'!$B$34</f>
        <v>1371.6472381450965</v>
      </c>
    </row>
    <row r="12" spans="1:7">
      <c r="A12" s="5" t="s">
        <v>138</v>
      </c>
      <c r="B12" s="11">
        <v>3506</v>
      </c>
      <c r="C12" s="11">
        <f>C10-C11</f>
        <v>3823.6129</v>
      </c>
      <c r="D12" s="11">
        <f>D10-D11</f>
        <v>4147.230408899999</v>
      </c>
      <c r="E12" s="11">
        <f>E10-E11</f>
        <v>4475.651864058</v>
      </c>
      <c r="F12" s="11">
        <f>F10-F11</f>
        <v>4828.55386436292</v>
      </c>
      <c r="G12" s="11">
        <f>G10-G11</f>
        <v>5183.1271742296985</v>
      </c>
    </row>
    <row r="13" spans="1:7">
      <c r="A13" s="5" t="s">
        <v>139</v>
      </c>
      <c r="B13" s="11">
        <v>-859</v>
      </c>
      <c r="C13" s="11">
        <f>-C12*'Assumptions'!$B$37</f>
        <v>-936.7851605</v>
      </c>
      <c r="D13" s="11">
        <f>-D12*'Assumptions'!$B$37</f>
        <v>-1016.0714501804997</v>
      </c>
      <c r="E13" s="11">
        <f>-E12*'Assumptions'!$B$37</f>
        <v>-1096.53470669421</v>
      </c>
      <c r="F13" s="11">
        <f>-F12*'Assumptions'!$B$37</f>
        <v>-1182.9956967689154</v>
      </c>
      <c r="G13" s="11">
        <f>-G12*'Assumptions'!$B$37</f>
        <v>-1269.8661576862762</v>
      </c>
    </row>
    <row r="14" spans="1:7">
      <c r="A14" s="5" t="s">
        <v>140</v>
      </c>
      <c r="B14" s="11">
        <v>2647</v>
      </c>
      <c r="C14" s="11">
        <f>C12+C13</f>
        <v>2886.8277395</v>
      </c>
      <c r="D14" s="11">
        <f>D12+D13</f>
        <v>3131.1589587194994</v>
      </c>
      <c r="E14" s="11">
        <f>E12+E13</f>
        <v>3379.11715736379</v>
      </c>
      <c r="F14" s="11">
        <f>F12+F13</f>
        <v>3645.5581675940043</v>
      </c>
      <c r="G14" s="11">
        <f>G12+G13</f>
        <v>3913.2610165434226</v>
      </c>
    </row>
    <row r="15" spans="1:7">
      <c r="A15" s="5" t="s">
        <v>141</v>
      </c>
      <c r="B15" s="11">
        <v>1017</v>
      </c>
      <c r="C15" s="11">
        <f>C11</f>
        <v>1086.49726</v>
      </c>
      <c r="D15" s="11">
        <f>D11</f>
        <v>1157.1195819000002</v>
      </c>
      <c r="E15" s="11">
        <f>E11</f>
        <v>1226.5467568140002</v>
      </c>
      <c r="F15" s="11">
        <f>F11</f>
        <v>1300.1395622228404</v>
      </c>
      <c r="G15" s="11">
        <f>G11</f>
        <v>1371.6472381450965</v>
      </c>
    </row>
    <row r="16" spans="1:7">
      <c r="A16" s="5" t="s">
        <v>91</v>
      </c>
      <c r="B16" s="11">
        <v>-919</v>
      </c>
      <c r="C16" s="11">
        <f>-C8*'Assumptions'!$D$35</f>
        <v>-913.4269</v>
      </c>
      <c r="D16" s="11">
        <f>-D8*'Assumptions'!$E$35</f>
        <v>-921.5996670000001</v>
      </c>
      <c r="E16" s="11">
        <f>-E8*'Assumptions'!$F$35</f>
        <v>-922.6236666300002</v>
      </c>
      <c r="F16" s="11">
        <f>-F8*'Assumptions'!$G$35</f>
        <v>-920.4527874144003</v>
      </c>
      <c r="G16" s="11">
        <f>-G8*'Assumptions'!$H$35</f>
        <v>-971.0776907221922</v>
      </c>
    </row>
    <row r="17" spans="1:7">
      <c r="A17" s="5" t="s">
        <v>142</v>
      </c>
      <c r="B17" s="11">
        <v>-419</v>
      </c>
      <c r="C17" s="11">
        <f>-C8*'Assumptions'!$B$36</f>
        <v>-144.2253</v>
      </c>
      <c r="D17" s="11">
        <f>-D8*'Assumptions'!$B$36</f>
        <v>-153.5999445</v>
      </c>
      <c r="E17" s="11">
        <f>-E8*'Assumptions'!$B$36</f>
        <v>-162.81594117000003</v>
      </c>
      <c r="F17" s="11">
        <f>-F8*'Assumptions'!$B$36</f>
        <v>-172.58489764020004</v>
      </c>
      <c r="G17" s="11">
        <f>-G8*'Assumptions'!$B$36</f>
        <v>-182.07706701041104</v>
      </c>
    </row>
    <row r="18" spans="1:7">
      <c r="A18" s="5" t="s">
        <v>143</v>
      </c>
      <c r="B18" s="11">
        <v>2326</v>
      </c>
      <c r="C18" s="11">
        <f>SUM(C14:C17)</f>
        <v>2915.6727995</v>
      </c>
      <c r="D18" s="11">
        <f>SUM(D14:D17)</f>
        <v>3213.0789291194997</v>
      </c>
      <c r="E18" s="11">
        <f>SUM(E14:E17)</f>
        <v>3520.2243063777905</v>
      </c>
      <c r="F18" s="11">
        <f>SUM(F14:F17)</f>
        <v>3852.6600447622445</v>
      </c>
      <c r="G18" s="11">
        <f>SUM(G14:G17)</f>
        <v>4131.753496955916</v>
      </c>
    </row>
    <row r="19" spans="1:7">
      <c r="A19" s="5" t="s">
        <v>144</v>
      </c>
      <c r="B19" s="11">
        <v>0</v>
      </c>
      <c r="C19" s="11">
        <f>1</f>
        <v>1</v>
      </c>
      <c r="D19" s="11">
        <f>2</f>
        <v>2</v>
      </c>
      <c r="E19" s="11">
        <f>3</f>
        <v>3</v>
      </c>
      <c r="F19" s="11">
        <f>4</f>
        <v>4</v>
      </c>
      <c r="G19" s="11">
        <f>5</f>
        <v>5</v>
      </c>
    </row>
    <row r="20" spans="1:7">
      <c r="A20" s="5" t="s">
        <v>145</v>
      </c>
      <c r="B20" s="11">
        <v>1</v>
      </c>
      <c r="C20" s="11">
        <f>1/(1+'Assumptions'!$B$23)^1</f>
        <v>0.9285517748001214</v>
      </c>
      <c r="D20" s="11">
        <f>1/(1+'Assumptions'!$B$23)^2</f>
        <v>0.8622083984844554</v>
      </c>
      <c r="E20" s="11">
        <f>1/(1+'Assumptions'!$B$23)^3</f>
        <v>0.8006051386603114</v>
      </c>
      <c r="F20" s="11">
        <f>1/(1+'Assumptions'!$B$23)^4</f>
        <v>0.7434033224171294</v>
      </c>
      <c r="G20" s="11">
        <f>1/(1+'Assumptions'!$B$23)^5</f>
        <v>0.6902884744227324</v>
      </c>
    </row>
    <row r="21" spans="1:7">
      <c r="A21" s="5" t="s">
        <v>146</v>
      </c>
      <c r="B21" s="11">
        <v>2326</v>
      </c>
      <c r="C21" s="11">
        <f>C18*C20</f>
        <v>2707.3531527121636</v>
      </c>
      <c r="D21" s="11">
        <f>D18*D20</f>
        <v>2770.343637680273</v>
      </c>
      <c r="E21" s="11">
        <f>E18*E20</f>
        <v>2818.309668922989</v>
      </c>
      <c r="F21" s="11">
        <f>F18*F20</f>
        <v>2864.0802774199788</v>
      </c>
      <c r="G21" s="11">
        <f>G18*G20</f>
        <v>2852.1018181044888</v>
      </c>
    </row>
    <row r="24" spans="1:7" ht="20" customHeight="1">
      <c r="A24" s="3" t="s">
        <v>147</v>
      </c>
      <c r="B24" s="3"/>
      <c r="C24" s="3"/>
      <c r="D24" s="3"/>
      <c r="E24" s="3"/>
      <c r="F24" s="3"/>
      <c r="G24" s="3"/>
    </row>
    <row r="25" spans="1:7">
      <c r="A25" s="5" t="s">
        <v>148</v>
      </c>
      <c r="B25" s="14">
        <f>G18</f>
        <v>4131.753496955916</v>
      </c>
    </row>
    <row r="26" spans="1:7">
      <c r="A26" s="5" t="s">
        <v>48</v>
      </c>
      <c r="B26" s="7">
        <f>'Assumptions'!$B$38</f>
        <v>0.025</v>
      </c>
    </row>
    <row r="27" spans="1:7">
      <c r="A27" s="5" t="s">
        <v>31</v>
      </c>
      <c r="B27" s="7">
        <f>'Assumptions'!$B$23</f>
        <v>0.07694587112846599</v>
      </c>
    </row>
    <row r="28" spans="1:7">
      <c r="A28" s="5" t="s">
        <v>149</v>
      </c>
      <c r="B28" s="14">
        <f>B25*(1+B26)/(B27-B26)</f>
        <v>81528.08379911903</v>
      </c>
    </row>
    <row r="29" spans="1:7">
      <c r="A29" s="5" t="s">
        <v>150</v>
      </c>
      <c r="B29" s="5">
        <f>G20</f>
        <v>0.6902884744227324</v>
      </c>
    </row>
    <row r="30" spans="1:7">
      <c r="A30" s="5" t="s">
        <v>151</v>
      </c>
      <c r="B30" s="14">
        <f>B28*B29</f>
        <v>56277.89658830257</v>
      </c>
    </row>
    <row r="31" spans="1:7">
      <c r="A31" s="5" t="s">
        <v>152</v>
      </c>
      <c r="B31" s="14">
        <f>SUM(C21:G21)</f>
        <v>14012.188554839893</v>
      </c>
    </row>
    <row r="32" spans="1:7">
      <c r="A32" s="5" t="s">
        <v>153</v>
      </c>
      <c r="B32" s="14">
        <f>SUM(B30:B31)</f>
        <v>70290.08514314247</v>
      </c>
    </row>
    <row r="33" spans="1:2">
      <c r="A33" s="5" t="s">
        <v>154</v>
      </c>
      <c r="B33" s="14">
        <f>-'Assumptions'!$B$10</f>
        <v>-8175.0</v>
      </c>
    </row>
    <row r="34" spans="1:2">
      <c r="A34" s="5" t="s">
        <v>155</v>
      </c>
      <c r="B34" s="14">
        <f>SUM(B32:B33)</f>
        <v>62115.08514314247</v>
      </c>
    </row>
    <row r="35" spans="1:2">
      <c r="A35" s="5" t="s">
        <v>25</v>
      </c>
      <c r="B35" s="11">
        <f>'Assumptions'!$B$9</f>
        <v>505.332519</v>
      </c>
    </row>
    <row r="36" spans="1:2">
      <c r="A36" s="5" t="s">
        <v>156</v>
      </c>
      <c r="B36" s="6">
        <f>B34/B35</f>
        <v>122.91923200601002</v>
      </c>
    </row>
    <row r="37" spans="1:2">
      <c r="A37" s="5" t="s">
        <v>157</v>
      </c>
      <c r="B37" s="6">
        <f>'Assumptions'!$B$8</f>
        <v>81.266</v>
      </c>
    </row>
    <row r="38" spans="1:2">
      <c r="A38" s="5" t="s">
        <v>6</v>
      </c>
      <c r="B38" s="7">
        <f>B36/B37-1</f>
        <v>0.5125542293949501</v>
      </c>
    </row>
  </sheetData>
  <mergeCells count="4">
    <mergeCell ref="A1:G1"/>
    <mergeCell ref="A3:G3"/>
    <mergeCell ref="A5:G5"/>
    <mergeCell ref="A24:G24"/>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K26"/>
  <sheetViews>
    <sheetView showGridLines="0" workbookViewId="0">
      <pane ySplit="4" topLeftCell="A5" activePane="bottomLeft" state="frozen"/>
      <selection pane="bottomLeft"/>
    </sheetView>
  </sheetViews>
  <sheetFormatPr defaultRowHeight="15"/>
  <cols>
    <col min="1" max="1" width="39.7109375" customWidth="1"/>
    <col min="2" max="2" width="18.7109375" customWidth="1"/>
    <col min="3" max="11" width="15.7109375" customWidth="1"/>
  </cols>
  <sheetData>
    <row r="1" spans="1:11" ht="28" customHeight="1">
      <c r="A1" s="1" t="s">
        <v>158</v>
      </c>
      <c r="B1" s="1"/>
      <c r="C1" s="1"/>
      <c r="D1" s="1"/>
      <c r="E1" s="1"/>
      <c r="F1" s="1"/>
      <c r="G1" s="1"/>
      <c r="H1" s="1"/>
      <c r="I1" s="1"/>
      <c r="J1" s="1"/>
      <c r="K1" s="1"/>
    </row>
    <row r="3" spans="1:11">
      <c r="A3" s="2" t="s">
        <v>159</v>
      </c>
      <c r="B3" s="2"/>
      <c r="C3" s="2"/>
      <c r="D3" s="2"/>
      <c r="E3" s="2"/>
      <c r="F3" s="2"/>
      <c r="G3" s="2"/>
      <c r="H3" s="2"/>
      <c r="I3" s="2"/>
      <c r="J3" s="2"/>
      <c r="K3" s="2"/>
    </row>
    <row r="5" spans="1:11" ht="20" customHeight="1">
      <c r="A5" s="3" t="s">
        <v>160</v>
      </c>
      <c r="B5" s="3"/>
      <c r="C5" s="3"/>
      <c r="D5" s="3"/>
      <c r="E5" s="3"/>
      <c r="F5" s="3"/>
      <c r="G5" s="3"/>
      <c r="H5" s="3"/>
      <c r="I5" s="3"/>
      <c r="J5" s="3"/>
      <c r="K5" s="3"/>
    </row>
    <row r="6" spans="1:11">
      <c r="A6" s="4" t="s">
        <v>161</v>
      </c>
      <c r="B6" s="4" t="s">
        <v>162</v>
      </c>
      <c r="C6" s="4" t="s">
        <v>163</v>
      </c>
      <c r="D6" s="4" t="s">
        <v>164</v>
      </c>
      <c r="E6" s="4" t="s">
        <v>165</v>
      </c>
      <c r="F6" s="4" t="s">
        <v>166</v>
      </c>
      <c r="G6" s="4" t="s">
        <v>167</v>
      </c>
      <c r="H6" s="4" t="s">
        <v>168</v>
      </c>
      <c r="I6" s="4" t="s">
        <v>169</v>
      </c>
      <c r="J6" s="4" t="s">
        <v>170</v>
      </c>
      <c r="K6" s="4" t="s">
        <v>171</v>
      </c>
    </row>
    <row r="7" spans="1:11">
      <c r="A7" s="5" t="s">
        <v>172</v>
      </c>
      <c r="B7" s="5" t="s">
        <v>173</v>
      </c>
      <c r="C7" s="5">
        <v>81.26600000000001</v>
      </c>
      <c r="D7" s="5">
        <v>505.332519</v>
      </c>
      <c r="E7" s="11">
        <f>C7*D7</f>
        <v>41066.352489054</v>
      </c>
      <c r="F7" s="11">
        <v>8175</v>
      </c>
      <c r="G7" s="11">
        <v>8986</v>
      </c>
      <c r="H7" s="11">
        <v>3506</v>
      </c>
      <c r="I7" s="16">
        <f>(E7+F7)/G7</f>
        <v>5.47978549844803</v>
      </c>
      <c r="J7" s="16">
        <f>(E7+F7)/H7</f>
        <v>14.04488091530348</v>
      </c>
      <c r="K7" s="16">
        <v>19.32</v>
      </c>
    </row>
    <row r="8" spans="1:11">
      <c r="A8" s="5" t="s">
        <v>174</v>
      </c>
      <c r="B8" s="5" t="s">
        <v>175</v>
      </c>
      <c r="C8" s="5">
        <v>162.89</v>
      </c>
      <c r="D8" s="5">
        <v>575</v>
      </c>
      <c r="E8" s="11">
        <f>C8*D8</f>
        <v>93661.74999999999</v>
      </c>
      <c r="F8" s="11">
        <v>18763</v>
      </c>
      <c r="G8" s="11">
        <v>9931</v>
      </c>
      <c r="H8" s="11">
        <v>5959</v>
      </c>
      <c r="I8" s="16">
        <f>(E8+F8)/G8</f>
        <v>11.32058705064948</v>
      </c>
      <c r="J8" s="16">
        <f>(E8+F8)/H8</f>
        <v>18.86637858701124</v>
      </c>
      <c r="K8" s="16">
        <v>23.3</v>
      </c>
    </row>
    <row r="9" spans="1:11">
      <c r="A9" s="5" t="s">
        <v>176</v>
      </c>
      <c r="B9" s="5" t="s">
        <v>177</v>
      </c>
      <c r="C9" s="5">
        <v>316.45</v>
      </c>
      <c r="D9" s="5">
        <v>361</v>
      </c>
      <c r="E9" s="11">
        <f>C9*D9</f>
        <v>114238.45</v>
      </c>
      <c r="F9" s="11">
        <v>-1200</v>
      </c>
      <c r="G9" s="11">
        <v>6520.6</v>
      </c>
      <c r="H9" s="11">
        <v>4524.8</v>
      </c>
      <c r="I9" s="16">
        <f>(E9+F9)/G9</f>
        <v>17.335590283102782</v>
      </c>
      <c r="J9" s="16">
        <f>(E9+F9)/H9</f>
        <v>24.981977103960393</v>
      </c>
      <c r="K9" s="16">
        <v>28.25</v>
      </c>
    </row>
    <row r="10" spans="1:11">
      <c r="A10" s="5" t="s">
        <v>178</v>
      </c>
      <c r="B10" s="5" t="s">
        <v>179</v>
      </c>
      <c r="C10" s="5">
        <v>88.59</v>
      </c>
      <c r="D10" s="5">
        <v>575</v>
      </c>
      <c r="E10" s="11">
        <f>C10*D10</f>
        <v>50939.25</v>
      </c>
      <c r="F10" s="11">
        <v>8000</v>
      </c>
      <c r="G10" s="11">
        <v>5249</v>
      </c>
      <c r="H10" s="11">
        <v>2918</v>
      </c>
      <c r="I10" s="16">
        <f>(E10+F10)/G10</f>
        <v>11.228662602400457</v>
      </c>
      <c r="J10" s="16">
        <f>(E10+F10)/H10</f>
        <v>20.198509252912952</v>
      </c>
      <c r="K10" s="16">
        <v>25.46</v>
      </c>
    </row>
    <row r="11" spans="1:11">
      <c r="A11" s="15" t="s">
        <v>180</v>
      </c>
      <c r="J11" s="16">
        <f>MEDIAN(J8:J10)</f>
        <v>20.198509252912952</v>
      </c>
      <c r="K11" s="16">
        <f>MEDIAN(K8:K10)</f>
        <v>25.46</v>
      </c>
    </row>
    <row r="14" spans="1:11" ht="20" customHeight="1">
      <c r="A14" s="3" t="s">
        <v>181</v>
      </c>
      <c r="B14" s="3"/>
      <c r="C14" s="3"/>
      <c r="D14" s="3"/>
      <c r="E14" s="3"/>
      <c r="F14" s="3"/>
      <c r="G14" s="3"/>
      <c r="H14" s="3"/>
      <c r="I14" s="3"/>
      <c r="J14" s="3"/>
      <c r="K14" s="3"/>
    </row>
    <row r="15" spans="1:11">
      <c r="A15" s="5" t="s">
        <v>182</v>
      </c>
      <c r="B15" s="16">
        <f>J11</f>
        <v>20.198509252912952</v>
      </c>
    </row>
    <row r="16" spans="1:11">
      <c r="A16" s="5" t="s">
        <v>183</v>
      </c>
      <c r="B16" s="14">
        <f>'Historical'!D11</f>
        <v>3506</v>
      </c>
    </row>
    <row r="17" spans="1:11">
      <c r="A17" s="5" t="s">
        <v>184</v>
      </c>
      <c r="B17" s="14">
        <f>B15*B16</f>
        <v>70815.97344071281</v>
      </c>
    </row>
    <row r="18" spans="1:11">
      <c r="A18" s="5" t="s">
        <v>185</v>
      </c>
      <c r="B18" s="14">
        <f>-'Assumptions'!$B$10</f>
        <v>-8175.0</v>
      </c>
    </row>
    <row r="19" spans="1:11">
      <c r="A19" s="5" t="s">
        <v>186</v>
      </c>
      <c r="B19" s="14">
        <f>SUM(B17:B18)</f>
        <v>62640.97344071281</v>
      </c>
    </row>
    <row r="20" spans="1:11">
      <c r="A20" s="5" t="s">
        <v>25</v>
      </c>
      <c r="B20" s="11">
        <f>'Assumptions'!$B$9</f>
        <v>505.332519</v>
      </c>
    </row>
    <row r="21" spans="1:11">
      <c r="A21" s="5" t="s">
        <v>4</v>
      </c>
      <c r="B21" s="17">
        <f>B19/B20</f>
        <v>123.95990973363979</v>
      </c>
    </row>
    <row r="23" spans="1:11">
      <c r="A23" s="9" t="s">
        <v>187</v>
      </c>
      <c r="B23" s="9"/>
      <c r="C23" s="9"/>
      <c r="D23" s="9"/>
      <c r="E23" s="9"/>
      <c r="F23" s="9"/>
      <c r="G23" s="9"/>
      <c r="H23" s="9"/>
      <c r="I23" s="9"/>
      <c r="J23" s="9"/>
      <c r="K23" s="9"/>
    </row>
    <row r="24" spans="1:11">
      <c r="A24" s="9"/>
      <c r="B24" s="9"/>
      <c r="C24" s="9"/>
      <c r="D24" s="9"/>
      <c r="E24" s="9"/>
      <c r="F24" s="9"/>
      <c r="G24" s="9"/>
      <c r="H24" s="9"/>
      <c r="I24" s="9"/>
      <c r="J24" s="9"/>
      <c r="K24" s="9"/>
    </row>
    <row r="25" spans="1:11">
      <c r="A25" s="9"/>
      <c r="B25" s="9"/>
      <c r="C25" s="9"/>
      <c r="D25" s="9"/>
      <c r="E25" s="9"/>
      <c r="F25" s="9"/>
      <c r="G25" s="9"/>
      <c r="H25" s="9"/>
      <c r="I25" s="9"/>
      <c r="J25" s="9"/>
      <c r="K25" s="9"/>
    </row>
    <row r="26" spans="1:11">
      <c r="A26" s="9"/>
      <c r="B26" s="9"/>
      <c r="C26" s="9"/>
      <c r="D26" s="9"/>
      <c r="E26" s="9"/>
      <c r="F26" s="9"/>
      <c r="G26" s="9"/>
      <c r="H26" s="9"/>
      <c r="I26" s="9"/>
      <c r="J26" s="9"/>
      <c r="K26" s="9"/>
    </row>
  </sheetData>
  <mergeCells count="5">
    <mergeCell ref="A1:K1"/>
    <mergeCell ref="A3:K3"/>
    <mergeCell ref="A5:K5"/>
    <mergeCell ref="A14:K14"/>
    <mergeCell ref="A23:K26"/>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H9"/>
  <sheetViews>
    <sheetView showGridLines="0" workbookViewId="0">
      <pane ySplit="4" topLeftCell="A5" activePane="bottomLeft" state="frozen"/>
      <selection pane="bottomLeft"/>
    </sheetView>
  </sheetViews>
  <sheetFormatPr defaultRowHeight="15"/>
  <cols>
    <col min="1" max="8" width="18.7109375" customWidth="1"/>
  </cols>
  <sheetData>
    <row r="1" spans="1:8" ht="28" customHeight="1">
      <c r="A1" s="1" t="s">
        <v>188</v>
      </c>
      <c r="B1" s="1"/>
      <c r="C1" s="1"/>
      <c r="D1" s="1"/>
      <c r="E1" s="1"/>
      <c r="F1" s="1"/>
      <c r="G1" s="1"/>
      <c r="H1" s="1"/>
    </row>
    <row r="3" spans="1:8">
      <c r="A3" s="2" t="s">
        <v>189</v>
      </c>
      <c r="B3" s="2"/>
      <c r="C3" s="2"/>
      <c r="D3" s="2"/>
      <c r="E3" s="2"/>
      <c r="F3" s="2"/>
      <c r="G3" s="2"/>
      <c r="H3" s="2"/>
    </row>
    <row r="5" spans="1:8" ht="20" customHeight="1">
      <c r="A5" s="3" t="s">
        <v>190</v>
      </c>
      <c r="B5" s="3"/>
      <c r="C5" s="3"/>
      <c r="D5" s="3"/>
      <c r="E5" s="3"/>
      <c r="F5" s="3"/>
      <c r="G5" s="3"/>
      <c r="H5" s="3"/>
    </row>
    <row r="6" spans="1:8">
      <c r="A6" s="4" t="s">
        <v>41</v>
      </c>
      <c r="B6" s="4" t="s">
        <v>191</v>
      </c>
      <c r="C6" s="4" t="s">
        <v>192</v>
      </c>
      <c r="D6" s="4" t="s">
        <v>193</v>
      </c>
      <c r="E6" s="4" t="s">
        <v>194</v>
      </c>
      <c r="F6" s="4" t="s">
        <v>48</v>
      </c>
      <c r="G6" s="4" t="s">
        <v>153</v>
      </c>
      <c r="H6" s="4" t="s">
        <v>195</v>
      </c>
    </row>
    <row r="7" spans="1:8">
      <c r="A7" s="5" t="s">
        <v>49</v>
      </c>
      <c r="B7" s="7">
        <f>((1+'Assumptions'!$B$27)*(1+'Assumptions'!$C$27)*(1+'Assumptions'!$D$27)*(1+'Assumptions'!$E$27)*(1+'Assumptions'!$F$27))^(1/5)-1</f>
        <v>0.04099327010109577</v>
      </c>
      <c r="C7" s="14">
        <f>'Historical'!$D$7*(1+'Assumptions'!$B$27)*(1+'Assumptions'!$C$27)*(1+'Assumptions'!$D$27)*(1+'Assumptions'!$E$27)*(1+'Assumptions'!$F$27)</f>
        <v>10985.150810462399</v>
      </c>
      <c r="D7" s="7">
        <f>'Assumptions'!$G$27</f>
        <v>0.515</v>
      </c>
      <c r="E7" s="14">
        <f>C7*D7</f>
        <v>5657.352667388133</v>
      </c>
      <c r="F7" s="7">
        <f>'Assumptions'!$H$27</f>
        <v>0.02</v>
      </c>
      <c r="G7" s="14">
        <f>((('Historical'!$D$7*(1+'Assumptions'!$B$27))*('Historical'!$D$10+('Assumptions'!$G$27-'Historical'!$D$10)*1/5)*(1-'Assumptions'!$B$37)+('Historical'!$D$7*(1+'Assumptions'!$B$27))*'Assumptions'!$B$34*'Assumptions'!$B$37-('Historical'!$D$7*(1+'Assumptions'!$B$27))*'Assumptions'!$D$35-('Historical'!$D$7*(1+'Assumptions'!$B$27))*'Assumptions'!$B$36))/(1+'Assumptions'!$B$23)^1+((('Historical'!$D$7*(1+'Assumptions'!$B$27)*(1+'Assumptions'!$C$27))*('Historical'!$D$10+('Assumptions'!$G$27-'Historical'!$D$10)*2/5)*(1-'Assumptions'!$B$37)+('Historical'!$D$7*(1+'Assumptions'!$B$27)*(1+'Assumptions'!$C$27))*'Assumptions'!$B$34*'Assumptions'!$B$37-('Historical'!$D$7*(1+'Assumptions'!$B$27)*(1+'Assumptions'!$C$27))*'Assumptions'!$E$35-('Historical'!$D$7*(1+'Assumptions'!$B$27)*(1+'Assumptions'!$C$27))*'Assumptions'!$B$36))/(1+'Assumptions'!$B$23)^2+((('Historical'!$D$7*(1+'Assumptions'!$B$27)*(1+'Assumptions'!$C$27)*(1+'Assumptions'!$D$27))*('Historical'!$D$10+('Assumptions'!$G$27-'Historical'!$D$10)*3/5)*(1-'Assumptions'!$B$37)+('Historical'!$D$7*(1+'Assumptions'!$B$27)*(1+'Assumptions'!$C$27)*(1+'Assumptions'!$D$27))*'Assumptions'!$B$34*'Assumptions'!$B$37-('Historical'!$D$7*(1+'Assumptions'!$B$27)*(1+'Assumptions'!$C$27)*(1+'Assumptions'!$D$27))*'Assumptions'!$F$35-('Historical'!$D$7*(1+'Assumptions'!$B$27)*(1+'Assumptions'!$C$27)*(1+'Assumptions'!$D$27))*'Assumptions'!$B$36))/(1+'Assumptions'!$B$23)^3+((('Historical'!$D$7*(1+'Assumptions'!$B$27)*(1+'Assumptions'!$C$27)*(1+'Assumptions'!$D$27)*(1+'Assumptions'!$E$27))*('Historical'!$D$10+('Assumptions'!$G$27-'Historical'!$D$10)*4/5)*(1-'Assumptions'!$B$37)+('Historical'!$D$7*(1+'Assumptions'!$B$27)*(1+'Assumptions'!$C$27)*(1+'Assumptions'!$D$27)*(1+'Assumptions'!$E$27))*'Assumptions'!$B$34*'Assumptions'!$B$37-('Historical'!$D$7*(1+'Assumptions'!$B$27)*(1+'Assumptions'!$C$27)*(1+'Assumptions'!$D$27)*(1+'Assumptions'!$E$27))*'Assumptions'!$G$35-('Historical'!$D$7*(1+'Assumptions'!$B$27)*(1+'Assumptions'!$C$27)*(1+'Assumptions'!$D$27)*(1+'Assumptions'!$E$27))*'Assumptions'!$B$36))/(1+'Assumptions'!$B$23)^4+((('Historical'!$D$7*(1+'Assumptions'!$B$27)*(1+'Assumptions'!$C$27)*(1+'Assumptions'!$D$27)*(1+'Assumptions'!$E$27)*(1+'Assumptions'!$F$27))*('Historical'!$D$10+('Assumptions'!$G$27-'Historical'!$D$10)*5/5)*(1-'Assumptions'!$B$37)+('Historical'!$D$7*(1+'Assumptions'!$B$27)*(1+'Assumptions'!$C$27)*(1+'Assumptions'!$D$27)*(1+'Assumptions'!$E$27)*(1+'Assumptions'!$F$27))*'Assumptions'!$B$34*'Assumptions'!$B$37-('Historical'!$D$7*(1+'Assumptions'!$B$27)*(1+'Assumptions'!$C$27)*(1+'Assumptions'!$D$27)*(1+'Assumptions'!$E$27)*(1+'Assumptions'!$F$27))*'Assumptions'!$H$35-('Historical'!$D$7*(1+'Assumptions'!$B$27)*(1+'Assumptions'!$C$27)*(1+'Assumptions'!$D$27)*(1+'Assumptions'!$E$27)*(1+'Assumptions'!$F$27))*'Assumptions'!$B$36))/(1+'Assumptions'!$B$23)^5+((('Historical'!$D$7*(1+'Assumptions'!$B$27)*(1+'Assumptions'!$C$27)*(1+'Assumptions'!$D$27)*(1+'Assumptions'!$E$27)*(1+'Assumptions'!$F$27))*('Historical'!$D$10+('Assumptions'!$G$27-'Historical'!$D$10)*5/5)*(1-'Assumptions'!$B$37)+('Historical'!$D$7*(1+'Assumptions'!$B$27)*(1+'Assumptions'!$C$27)*(1+'Assumptions'!$D$27)*(1+'Assumptions'!$E$27)*(1+'Assumptions'!$F$27))*'Assumptions'!$B$34*'Assumptions'!$B$37-('Historical'!$D$7*(1+'Assumptions'!$B$27)*(1+'Assumptions'!$C$27)*(1+'Assumptions'!$D$27)*(1+'Assumptions'!$E$27)*(1+'Assumptions'!$F$27))*'Assumptions'!$H$35-('Historical'!$D$7*(1+'Assumptions'!$B$27)*(1+'Assumptions'!$C$27)*(1+'Assumptions'!$D$27)*(1+'Assumptions'!$E$27)*(1+'Assumptions'!$F$27))*'Assumptions'!$B$36))*(1+'Assumptions'!$H$27)/('Assumptions'!$B$23-'Assumptions'!$H$27)/(1+'Assumptions'!$B$23)^5</f>
        <v>56388.85299918749</v>
      </c>
      <c r="H7" s="6">
        <f>(G7-'Assumptions'!$B$10)/'Assumptions'!$B$9</f>
        <v>95.41015309008343</v>
      </c>
    </row>
    <row r="8" spans="1:8">
      <c r="A8" s="5" t="s">
        <v>19</v>
      </c>
      <c r="B8" s="7">
        <f>((1+'Assumptions'!$B$28)*(1+'Assumptions'!$C$28)*(1+'Assumptions'!$D$28)*(1+'Assumptions'!$E$28)*(1+'Assumptions'!$F$28))^(1/5)-1</f>
        <v>0.06198776938015227</v>
      </c>
      <c r="C8" s="14">
        <f>'Historical'!$D$7*(1+'Assumptions'!$B$28)*(1+'Assumptions'!$C$28)*(1+'Assumptions'!$D$28)*(1+'Assumptions'!$E$28)*(1+'Assumptions'!$F$28)</f>
        <v>12138.471134027403</v>
      </c>
      <c r="D8" s="7">
        <f>'Assumptions'!$G$28</f>
        <v>0.54</v>
      </c>
      <c r="E8" s="14">
        <f>C8*D8</f>
        <v>6554.774412374795</v>
      </c>
      <c r="F8" s="7">
        <f>'Assumptions'!$H$28</f>
        <v>0.025</v>
      </c>
      <c r="G8" s="14">
        <f>((('Historical'!$D$7*(1+'Assumptions'!$B$28))*('Historical'!$D$10+('Assumptions'!$G$28-'Historical'!$D$10)*1/5)*(1-'Assumptions'!$B$37)+('Historical'!$D$7*(1+'Assumptions'!$B$28))*'Assumptions'!$B$34*'Assumptions'!$B$37-('Historical'!$D$7*(1+'Assumptions'!$B$28))*'Assumptions'!$D$35-('Historical'!$D$7*(1+'Assumptions'!$B$28))*'Assumptions'!$B$36))/(1+'Assumptions'!$B$23)^1+((('Historical'!$D$7*(1+'Assumptions'!$B$28)*(1+'Assumptions'!$C$28))*('Historical'!$D$10+('Assumptions'!$G$28-'Historical'!$D$10)*2/5)*(1-'Assumptions'!$B$37)+('Historical'!$D$7*(1+'Assumptions'!$B$28)*(1+'Assumptions'!$C$28))*'Assumptions'!$B$34*'Assumptions'!$B$37-('Historical'!$D$7*(1+'Assumptions'!$B$28)*(1+'Assumptions'!$C$28))*'Assumptions'!$E$35-('Historical'!$D$7*(1+'Assumptions'!$B$28)*(1+'Assumptions'!$C$28))*'Assumptions'!$B$36))/(1+'Assumptions'!$B$23)^2+((('Historical'!$D$7*(1+'Assumptions'!$B$28)*(1+'Assumptions'!$C$28)*(1+'Assumptions'!$D$28))*('Historical'!$D$10+('Assumptions'!$G$28-'Historical'!$D$10)*3/5)*(1-'Assumptions'!$B$37)+('Historical'!$D$7*(1+'Assumptions'!$B$28)*(1+'Assumptions'!$C$28)*(1+'Assumptions'!$D$28))*'Assumptions'!$B$34*'Assumptions'!$B$37-('Historical'!$D$7*(1+'Assumptions'!$B$28)*(1+'Assumptions'!$C$28)*(1+'Assumptions'!$D$28))*'Assumptions'!$F$35-('Historical'!$D$7*(1+'Assumptions'!$B$28)*(1+'Assumptions'!$C$28)*(1+'Assumptions'!$D$28))*'Assumptions'!$B$36))/(1+'Assumptions'!$B$23)^3+((('Historical'!$D$7*(1+'Assumptions'!$B$28)*(1+'Assumptions'!$C$28)*(1+'Assumptions'!$D$28)*(1+'Assumptions'!$E$28))*('Historical'!$D$10+('Assumptions'!$G$28-'Historical'!$D$10)*4/5)*(1-'Assumptions'!$B$37)+('Historical'!$D$7*(1+'Assumptions'!$B$28)*(1+'Assumptions'!$C$28)*(1+'Assumptions'!$D$28)*(1+'Assumptions'!$E$28))*'Assumptions'!$B$34*'Assumptions'!$B$37-('Historical'!$D$7*(1+'Assumptions'!$B$28)*(1+'Assumptions'!$C$28)*(1+'Assumptions'!$D$28)*(1+'Assumptions'!$E$28))*'Assumptions'!$G$35-('Historical'!$D$7*(1+'Assumptions'!$B$28)*(1+'Assumptions'!$C$28)*(1+'Assumptions'!$D$28)*(1+'Assumptions'!$E$28))*'Assumptions'!$B$36))/(1+'Assumptions'!$B$23)^4+((('Historical'!$D$7*(1+'Assumptions'!$B$28)*(1+'Assumptions'!$C$28)*(1+'Assumptions'!$D$28)*(1+'Assumptions'!$E$28)*(1+'Assumptions'!$F$28))*('Historical'!$D$10+('Assumptions'!$G$28-'Historical'!$D$10)*5/5)*(1-'Assumptions'!$B$37)+('Historical'!$D$7*(1+'Assumptions'!$B$28)*(1+'Assumptions'!$C$28)*(1+'Assumptions'!$D$28)*(1+'Assumptions'!$E$28)*(1+'Assumptions'!$F$28))*'Assumptions'!$B$34*'Assumptions'!$B$37-('Historical'!$D$7*(1+'Assumptions'!$B$28)*(1+'Assumptions'!$C$28)*(1+'Assumptions'!$D$28)*(1+'Assumptions'!$E$28)*(1+'Assumptions'!$F$28))*'Assumptions'!$H$35-('Historical'!$D$7*(1+'Assumptions'!$B$28)*(1+'Assumptions'!$C$28)*(1+'Assumptions'!$D$28)*(1+'Assumptions'!$E$28)*(1+'Assumptions'!$F$28))*'Assumptions'!$B$36))/(1+'Assumptions'!$B$23)^5+((('Historical'!$D$7*(1+'Assumptions'!$B$28)*(1+'Assumptions'!$C$28)*(1+'Assumptions'!$D$28)*(1+'Assumptions'!$E$28)*(1+'Assumptions'!$F$28))*('Historical'!$D$10+('Assumptions'!$G$28-'Historical'!$D$10)*5/5)*(1-'Assumptions'!$B$37)+('Historical'!$D$7*(1+'Assumptions'!$B$28)*(1+'Assumptions'!$C$28)*(1+'Assumptions'!$D$28)*(1+'Assumptions'!$E$28)*(1+'Assumptions'!$F$28))*'Assumptions'!$B$34*'Assumptions'!$B$37-('Historical'!$D$7*(1+'Assumptions'!$B$28)*(1+'Assumptions'!$C$28)*(1+'Assumptions'!$D$28)*(1+'Assumptions'!$E$28)*(1+'Assumptions'!$F$28))*'Assumptions'!$H$35-('Historical'!$D$7*(1+'Assumptions'!$B$28)*(1+'Assumptions'!$C$28)*(1+'Assumptions'!$D$28)*(1+'Assumptions'!$E$28)*(1+'Assumptions'!$F$28))*'Assumptions'!$B$36))*(1+'Assumptions'!$H$28)/('Assumptions'!$B$23-'Assumptions'!$H$28)/(1+'Assumptions'!$B$23)^5</f>
        <v>70290.08514314247</v>
      </c>
      <c r="H8" s="6">
        <f>(G8-'Assumptions'!$B$10)/'Assumptions'!$B$9</f>
        <v>122.91923200601002</v>
      </c>
    </row>
    <row r="9" spans="1:8">
      <c r="A9" s="5" t="s">
        <v>50</v>
      </c>
      <c r="B9" s="7">
        <f>((1+'Assumptions'!$B$29)*(1+'Assumptions'!$C$29)*(1+'Assumptions'!$D$29)*(1+'Assumptions'!$E$29)*(1+'Assumptions'!$F$29))^(1/5)-1</f>
        <v>0.07497674358229567</v>
      </c>
      <c r="C9" s="14">
        <f>'Historical'!$D$7*(1+'Assumptions'!$B$29)*(1+'Assumptions'!$C$29)*(1+'Assumptions'!$D$29)*(1+'Assumptions'!$E$29)*(1+'Assumptions'!$F$29)</f>
        <v>12899.1697391655</v>
      </c>
      <c r="D9" s="7">
        <f>'Assumptions'!$G$29</f>
        <v>0.56</v>
      </c>
      <c r="E9" s="14">
        <f>C9*D9</f>
        <v>7223.535053932677</v>
      </c>
      <c r="F9" s="7">
        <f>'Assumptions'!$H$29</f>
        <v>0.03</v>
      </c>
      <c r="G9" s="14">
        <f>((('Historical'!$D$7*(1+'Assumptions'!$B$29))*('Historical'!$D$10+('Assumptions'!$G$29-'Historical'!$D$10)*1/5)*(1-'Assumptions'!$B$37)+('Historical'!$D$7*(1+'Assumptions'!$B$29))*'Assumptions'!$B$34*'Assumptions'!$B$37-('Historical'!$D$7*(1+'Assumptions'!$B$29))*'Assumptions'!$D$35-('Historical'!$D$7*(1+'Assumptions'!$B$29))*'Assumptions'!$B$36))/(1+'Assumptions'!$B$23)^1+((('Historical'!$D$7*(1+'Assumptions'!$B$29)*(1+'Assumptions'!$C$29))*('Historical'!$D$10+('Assumptions'!$G$29-'Historical'!$D$10)*2/5)*(1-'Assumptions'!$B$37)+('Historical'!$D$7*(1+'Assumptions'!$B$29)*(1+'Assumptions'!$C$29))*'Assumptions'!$B$34*'Assumptions'!$B$37-('Historical'!$D$7*(1+'Assumptions'!$B$29)*(1+'Assumptions'!$C$29))*'Assumptions'!$E$35-('Historical'!$D$7*(1+'Assumptions'!$B$29)*(1+'Assumptions'!$C$29))*'Assumptions'!$B$36))/(1+'Assumptions'!$B$23)^2+((('Historical'!$D$7*(1+'Assumptions'!$B$29)*(1+'Assumptions'!$C$29)*(1+'Assumptions'!$D$29))*('Historical'!$D$10+('Assumptions'!$G$29-'Historical'!$D$10)*3/5)*(1-'Assumptions'!$B$37)+('Historical'!$D$7*(1+'Assumptions'!$B$29)*(1+'Assumptions'!$C$29)*(1+'Assumptions'!$D$29))*'Assumptions'!$B$34*'Assumptions'!$B$37-('Historical'!$D$7*(1+'Assumptions'!$B$29)*(1+'Assumptions'!$C$29)*(1+'Assumptions'!$D$29))*'Assumptions'!$F$35-('Historical'!$D$7*(1+'Assumptions'!$B$29)*(1+'Assumptions'!$C$29)*(1+'Assumptions'!$D$29))*'Assumptions'!$B$36))/(1+'Assumptions'!$B$23)^3+((('Historical'!$D$7*(1+'Assumptions'!$B$29)*(1+'Assumptions'!$C$29)*(1+'Assumptions'!$D$29)*(1+'Assumptions'!$E$29))*('Historical'!$D$10+('Assumptions'!$G$29-'Historical'!$D$10)*4/5)*(1-'Assumptions'!$B$37)+('Historical'!$D$7*(1+'Assumptions'!$B$29)*(1+'Assumptions'!$C$29)*(1+'Assumptions'!$D$29)*(1+'Assumptions'!$E$29))*'Assumptions'!$B$34*'Assumptions'!$B$37-('Historical'!$D$7*(1+'Assumptions'!$B$29)*(1+'Assumptions'!$C$29)*(1+'Assumptions'!$D$29)*(1+'Assumptions'!$E$29))*'Assumptions'!$G$35-('Historical'!$D$7*(1+'Assumptions'!$B$29)*(1+'Assumptions'!$C$29)*(1+'Assumptions'!$D$29)*(1+'Assumptions'!$E$29))*'Assumptions'!$B$36))/(1+'Assumptions'!$B$23)^4+((('Historical'!$D$7*(1+'Assumptions'!$B$29)*(1+'Assumptions'!$C$29)*(1+'Assumptions'!$D$29)*(1+'Assumptions'!$E$29)*(1+'Assumptions'!$F$29))*('Historical'!$D$10+('Assumptions'!$G$29-'Historical'!$D$10)*5/5)*(1-'Assumptions'!$B$37)+('Historical'!$D$7*(1+'Assumptions'!$B$29)*(1+'Assumptions'!$C$29)*(1+'Assumptions'!$D$29)*(1+'Assumptions'!$E$29)*(1+'Assumptions'!$F$29))*'Assumptions'!$B$34*'Assumptions'!$B$37-('Historical'!$D$7*(1+'Assumptions'!$B$29)*(1+'Assumptions'!$C$29)*(1+'Assumptions'!$D$29)*(1+'Assumptions'!$E$29)*(1+'Assumptions'!$F$29))*'Assumptions'!$H$35-('Historical'!$D$7*(1+'Assumptions'!$B$29)*(1+'Assumptions'!$C$29)*(1+'Assumptions'!$D$29)*(1+'Assumptions'!$E$29)*(1+'Assumptions'!$F$29))*'Assumptions'!$B$36))/(1+'Assumptions'!$B$23)^5+((('Historical'!$D$7*(1+'Assumptions'!$B$29)*(1+'Assumptions'!$C$29)*(1+'Assumptions'!$D$29)*(1+'Assumptions'!$E$29)*(1+'Assumptions'!$F$29))*('Historical'!$D$10+('Assumptions'!$G$29-'Historical'!$D$10)*5/5)*(1-'Assumptions'!$B$37)+('Historical'!$D$7*(1+'Assumptions'!$B$29)*(1+'Assumptions'!$C$29)*(1+'Assumptions'!$D$29)*(1+'Assumptions'!$E$29)*(1+'Assumptions'!$F$29))*'Assumptions'!$B$34*'Assumptions'!$B$37-('Historical'!$D$7*(1+'Assumptions'!$B$29)*(1+'Assumptions'!$C$29)*(1+'Assumptions'!$D$29)*(1+'Assumptions'!$E$29)*(1+'Assumptions'!$F$29))*'Assumptions'!$H$35-('Historical'!$D$7*(1+'Assumptions'!$B$29)*(1+'Assumptions'!$C$29)*(1+'Assumptions'!$D$29)*(1+'Assumptions'!$E$29)*(1+'Assumptions'!$F$29))*'Assumptions'!$B$36))*(1+'Assumptions'!$H$29)/('Assumptions'!$B$23-'Assumptions'!$H$29)/(1+'Assumptions'!$B$23)^5</f>
        <v>84433.46409225187</v>
      </c>
      <c r="H9" s="6">
        <f>(G9-'Assumptions'!$B$10)/'Assumptions'!$B$9</f>
        <v>150.90749402622924</v>
      </c>
    </row>
  </sheetData>
  <mergeCells count="3">
    <mergeCell ref="A1:H1"/>
    <mergeCell ref="A3:H3"/>
    <mergeCell ref="A5:H5"/>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H25"/>
  <sheetViews>
    <sheetView showGridLines="0" workbookViewId="0">
      <pane ySplit="4" topLeftCell="A5" activePane="bottomLeft" state="frozen"/>
      <selection pane="bottomLeft"/>
    </sheetView>
  </sheetViews>
  <sheetFormatPr defaultRowHeight="15"/>
  <cols>
    <col min="1" max="1" width="22.7109375" customWidth="1"/>
    <col min="2" max="6" width="18.7109375" customWidth="1"/>
  </cols>
  <sheetData>
    <row r="1" spans="1:8" ht="28" customHeight="1">
      <c r="A1" s="1" t="s">
        <v>196</v>
      </c>
      <c r="B1" s="1"/>
      <c r="C1" s="1"/>
      <c r="D1" s="1"/>
      <c r="E1" s="1"/>
      <c r="F1" s="1"/>
      <c r="G1" s="1"/>
      <c r="H1" s="1"/>
    </row>
    <row r="3" spans="1:8">
      <c r="A3" s="2" t="s">
        <v>197</v>
      </c>
      <c r="B3" s="2"/>
      <c r="C3" s="2"/>
      <c r="D3" s="2"/>
      <c r="E3" s="2"/>
      <c r="F3" s="2"/>
      <c r="G3" s="2"/>
      <c r="H3" s="2"/>
    </row>
    <row r="5" spans="1:8" ht="20" customHeight="1">
      <c r="A5" s="3" t="s">
        <v>198</v>
      </c>
      <c r="B5" s="3"/>
      <c r="C5" s="3"/>
      <c r="D5" s="3"/>
      <c r="E5" s="3"/>
      <c r="F5" s="3"/>
      <c r="G5" s="3"/>
      <c r="H5" s="3"/>
    </row>
    <row r="6" spans="1:8">
      <c r="A6" s="4" t="s">
        <v>199</v>
      </c>
      <c r="B6" s="7">
        <v>0.015</v>
      </c>
      <c r="C6" s="7">
        <v>0.02</v>
      </c>
      <c r="D6" s="7">
        <v>0.025</v>
      </c>
      <c r="E6" s="7">
        <v>0.03</v>
      </c>
      <c r="F6" s="7">
        <v>0.035</v>
      </c>
    </row>
    <row r="7" spans="1:8">
      <c r="A7" s="7">
        <v>0.065</v>
      </c>
      <c r="B7" s="6">
        <f>(SUMPRODUCT('DCF'!$C$18:$G$18,1/(1+$A7)^'DCF'!$C$19:$G$19)+'DCF'!$G$18*(1+B$6)/($A7-B$6)/(1+$A7)^5-'Assumptions'!$B$10)/'Assumptions'!$B$9</f>
        <v>133.6519684638643</v>
      </c>
      <c r="C7" s="6">
        <f>(SUMPRODUCT('DCF'!$C$18:$G$18,1/(1+$A7)^'DCF'!$C$19:$G$19)+'DCF'!$G$18*(1+C$6)/($A7-C$6)/(1+$A7)^5-'Assumptions'!$B$10)/'Assumptions'!$B$9</f>
        <v>147.77559456180637</v>
      </c>
      <c r="D7" s="6">
        <f>(SUMPRODUCT('DCF'!$C$18:$G$18,1/(1+$A7)^'DCF'!$C$19:$G$19)+'DCF'!$G$18*(1+D$6)/($A7-D$6)/(1+$A7)^5-'Assumptions'!$B$10)/'Assumptions'!$B$9</f>
        <v>165.43012718423392</v>
      </c>
      <c r="E7" s="6">
        <f>(SUMPRODUCT('DCF'!$C$18:$G$18,1/(1+$A7)^'DCF'!$C$19:$G$19)+'DCF'!$G$18*(1+E$6)/($A7-E$6)/(1+$A7)^5-'Assumptions'!$B$10)/'Assumptions'!$B$9</f>
        <v>188.12881198449796</v>
      </c>
      <c r="F7" s="6">
        <f>(SUMPRODUCT('DCF'!$C$18:$G$18,1/(1+$A7)^'DCF'!$C$19:$G$19)+'DCF'!$G$18*(1+F$6)/($A7-F$6)/(1+$A7)^5-'Assumptions'!$B$10)/'Assumptions'!$B$9</f>
        <v>218.39372505151667</v>
      </c>
    </row>
    <row r="8" spans="1:8">
      <c r="A8" s="7">
        <v>0.07000000000000001</v>
      </c>
      <c r="B8" s="6">
        <f>(SUMPRODUCT('DCF'!$C$18:$G$18,1/(1+$A8)^'DCF'!$C$19:$G$19)+'DCF'!$G$18*(1+B$6)/($A8-B$6)/(1+$A8)^5-'Assumptions'!$B$10)/'Assumptions'!$B$9</f>
        <v>119.68337309978679</v>
      </c>
      <c r="C8" s="6">
        <f>(SUMPRODUCT('DCF'!$C$18:$G$18,1/(1+$A8)^'DCF'!$C$19:$G$19)+'DCF'!$G$18*(1+C$6)/($A8-C$6)/(1+$A8)^5-'Assumptions'!$B$10)/'Assumptions'!$B$9</f>
        <v>131.02458216572643</v>
      </c>
      <c r="D8" s="6">
        <f>(SUMPRODUCT('DCF'!$C$18:$G$18,1/(1+$A8)^'DCF'!$C$19:$G$19)+'DCF'!$G$18*(1+D$6)/($A8-D$6)/(1+$A8)^5-'Assumptions'!$B$10)/'Assumptions'!$B$9</f>
        <v>144.88605991298584</v>
      </c>
      <c r="E8" s="6">
        <f>(SUMPRODUCT('DCF'!$C$18:$G$18,1/(1+$A8)^'DCF'!$C$19:$G$19)+'DCF'!$G$18*(1+E$6)/($A8-E$6)/(1+$A8)^5-'Assumptions'!$B$10)/'Assumptions'!$B$9</f>
        <v>162.21290709706022</v>
      </c>
      <c r="F8" s="6">
        <f>(SUMPRODUCT('DCF'!$C$18:$G$18,1/(1+$A8)^'DCF'!$C$19:$G$19)+'DCF'!$G$18*(1+F$6)/($A8-F$6)/(1+$A8)^5-'Assumptions'!$B$10)/'Assumptions'!$B$9</f>
        <v>184.49028204801294</v>
      </c>
    </row>
    <row r="9" spans="1:8">
      <c r="A9" s="7">
        <v>0.075</v>
      </c>
      <c r="B9" s="6">
        <f>(SUMPRODUCT('DCF'!$C$18:$G$18,1/(1+$A9)^'DCF'!$C$19:$G$19)+'DCF'!$G$18*(1+B$6)/($A9-B$6)/(1+$A9)^5-'Assumptions'!$B$10)/'Assumptions'!$B$9</f>
        <v>108.04860060625904</v>
      </c>
      <c r="C9" s="6">
        <f>(SUMPRODUCT('DCF'!$C$18:$G$18,1/(1+$A9)^'DCF'!$C$19:$G$19)+'DCF'!$G$18*(1+C$6)/($A9-C$6)/(1+$A9)^5-'Assumptions'!$B$10)/'Assumptions'!$B$9</f>
        <v>117.32499840284922</v>
      </c>
      <c r="D9" s="6">
        <f>(SUMPRODUCT('DCF'!$C$18:$G$18,1/(1+$A9)^'DCF'!$C$19:$G$19)+'DCF'!$G$18*(1+D$6)/($A9-D$6)/(1+$A9)^5-'Assumptions'!$B$10)/'Assumptions'!$B$9</f>
        <v>128.45667575875734</v>
      </c>
      <c r="E9" s="6">
        <f>(SUMPRODUCT('DCF'!$C$18:$G$18,1/(1+$A9)^'DCF'!$C$19:$G$19)+'DCF'!$G$18*(1+E$6)/($A9-E$6)/(1+$A9)^5-'Assumptions'!$B$10)/'Assumptions'!$B$9</f>
        <v>142.06205919375617</v>
      </c>
      <c r="F9" s="6">
        <f>(SUMPRODUCT('DCF'!$C$18:$G$18,1/(1+$A9)^'DCF'!$C$19:$G$19)+'DCF'!$G$18*(1+F$6)/($A9-F$6)/(1+$A9)^5-'Assumptions'!$B$10)/'Assumptions'!$B$9</f>
        <v>159.06878848750478</v>
      </c>
    </row>
    <row r="10" spans="1:8">
      <c r="A10" s="7">
        <v>0.08</v>
      </c>
      <c r="B10" s="6">
        <f>(SUMPRODUCT('DCF'!$C$18:$G$18,1/(1+$A10)^'DCF'!$C$19:$G$19)+'DCF'!$G$18*(1+B$6)/($A10-B$6)/(1+$A10)^5-'Assumptions'!$B$10)/'Assumptions'!$B$9</f>
        <v>98.20895154326585</v>
      </c>
      <c r="C10" s="6">
        <f>(SUMPRODUCT('DCF'!$C$18:$G$18,1/(1+$A10)^'DCF'!$C$19:$G$19)+'DCF'!$G$18*(1+C$6)/($A10-C$6)/(1+$A10)^5-'Assumptions'!$B$10)/'Assumptions'!$B$9</f>
        <v>105.91386086603592</v>
      </c>
      <c r="D10" s="6">
        <f>(SUMPRODUCT('DCF'!$C$18:$G$18,1/(1+$A10)^'DCF'!$C$19:$G$19)+'DCF'!$G$18*(1+D$6)/($A10-D$6)/(1+$A10)^5-'Assumptions'!$B$10)/'Assumptions'!$B$9</f>
        <v>115.01966279294597</v>
      </c>
      <c r="E10" s="6">
        <f>(SUMPRODUCT('DCF'!$C$18:$G$18,1/(1+$A10)^'DCF'!$C$19:$G$19)+'DCF'!$G$18*(1+E$6)/($A10-E$6)/(1+$A10)^5-'Assumptions'!$B$10)/'Assumptions'!$B$9</f>
        <v>125.94662510523801</v>
      </c>
      <c r="F10" s="6">
        <f>(SUMPRODUCT('DCF'!$C$18:$G$18,1/(1+$A10)^'DCF'!$C$19:$G$19)+'DCF'!$G$18*(1+F$6)/($A10-F$6)/(1+$A10)^5-'Assumptions'!$B$10)/'Assumptions'!$B$9</f>
        <v>139.30180126470609</v>
      </c>
    </row>
    <row r="11" spans="1:8">
      <c r="A11" s="7">
        <v>0.08500000000000001</v>
      </c>
      <c r="B11" s="6">
        <f>(SUMPRODUCT('DCF'!$C$18:$G$18,1/(1+$A11)^'DCF'!$C$19:$G$19)+'DCF'!$G$18*(1+B$6)/($A11-B$6)/(1+$A11)^5-'Assumptions'!$B$10)/'Assumptions'!$B$9</f>
        <v>89.77964394168993</v>
      </c>
      <c r="C11" s="6">
        <f>(SUMPRODUCT('DCF'!$C$18:$G$18,1/(1+$A11)^'DCF'!$C$19:$G$19)+'DCF'!$G$18*(1+C$6)/($A11-C$6)/(1+$A11)^5-'Assumptions'!$B$10)/'Assumptions'!$B$9</f>
        <v>96.26295429445061</v>
      </c>
      <c r="D11" s="6">
        <f>(SUMPRODUCT('DCF'!$C$18:$G$18,1/(1+$A11)^'DCF'!$C$19:$G$19)+'DCF'!$G$18*(1+D$6)/($A11-D$6)/(1+$A11)^5-'Assumptions'!$B$10)/'Assumptions'!$B$9</f>
        <v>103.82681637267133</v>
      </c>
      <c r="E11" s="6">
        <f>(SUMPRODUCT('DCF'!$C$18:$G$18,1/(1+$A11)^'DCF'!$C$19:$G$19)+'DCF'!$G$18*(1+E$6)/($A11-E$6)/(1+$A11)^5-'Assumptions'!$B$10)/'Assumptions'!$B$9</f>
        <v>112.76592610147767</v>
      </c>
      <c r="F11" s="6">
        <f>(SUMPRODUCT('DCF'!$C$18:$G$18,1/(1+$A11)^'DCF'!$C$19:$G$19)+'DCF'!$G$18*(1+F$6)/($A11-F$6)/(1+$A11)^5-'Assumptions'!$B$10)/'Assumptions'!$B$9</f>
        <v>123.49285777604528</v>
      </c>
    </row>
    <row r="14" spans="1:8" ht="20" customHeight="1">
      <c r="A14" s="3" t="s">
        <v>200</v>
      </c>
      <c r="B14" s="3"/>
      <c r="C14" s="3"/>
      <c r="D14" s="3"/>
      <c r="E14" s="3"/>
      <c r="F14" s="3"/>
      <c r="G14" s="3"/>
      <c r="H14" s="3"/>
    </row>
    <row r="15" spans="1:8">
      <c r="A15" s="4" t="s">
        <v>201</v>
      </c>
      <c r="B15" s="7">
        <v>0.5</v>
      </c>
      <c r="C15" s="7">
        <v>0.52</v>
      </c>
      <c r="D15" s="7">
        <v>0.54</v>
      </c>
      <c r="E15" s="7">
        <v>0.5600000000000001</v>
      </c>
      <c r="F15" s="7">
        <v>0.58</v>
      </c>
    </row>
    <row r="16" spans="1:8">
      <c r="A16" s="7">
        <v>0.04</v>
      </c>
      <c r="B16" s="6">
        <f>((((('Historical'!$D$7*(1+$A16)^1)*('Historical'!$D$10+(B$15-'Historical'!$D$10)*1/5)*(1-'Assumptions'!$B$37)+('Historical'!$D$7*(1+$A16)^1)*'Assumptions'!$B$34*'Assumptions'!$B$37-('Historical'!$D$7*(1+$A16)^1)*'Assumptions'!$D$35-('Historical'!$D$7*(1+$A16)^1)*'Assumptions'!$B$36))/(1+'Assumptions'!$B$23)^1+((('Historical'!$D$7*(1+$A16)^2)*('Historical'!$D$10+(B$15-'Historical'!$D$10)*2/5)*(1-'Assumptions'!$B$37)+('Historical'!$D$7*(1+$A16)^2)*'Assumptions'!$B$34*'Assumptions'!$B$37-('Historical'!$D$7*(1+$A16)^2)*'Assumptions'!$E$35-('Historical'!$D$7*(1+$A16)^2)*'Assumptions'!$B$36))/(1+'Assumptions'!$B$23)^2+((('Historical'!$D$7*(1+$A16)^3)*('Historical'!$D$10+(B$15-'Historical'!$D$10)*3/5)*(1-'Assumptions'!$B$37)+('Historical'!$D$7*(1+$A16)^3)*'Assumptions'!$B$34*'Assumptions'!$B$37-('Historical'!$D$7*(1+$A16)^3)*'Assumptions'!$F$35-('Historical'!$D$7*(1+$A16)^3)*'Assumptions'!$B$36))/(1+'Assumptions'!$B$23)^3+((('Historical'!$D$7*(1+$A16)^4)*('Historical'!$D$10+(B$15-'Historical'!$D$10)*4/5)*(1-'Assumptions'!$B$37)+('Historical'!$D$7*(1+$A16)^4)*'Assumptions'!$B$34*'Assumptions'!$B$37-('Historical'!$D$7*(1+$A16)^4)*'Assumptions'!$G$35-('Historical'!$D$7*(1+$A16)^4)*'Assumptions'!$B$36))/(1+'Assumptions'!$B$23)^4+((('Historical'!$D$7*(1+$A16)^5)*('Historical'!$D$10+(B$15-'Historical'!$D$10)*5/5)*(1-'Assumptions'!$B$37)+('Historical'!$D$7*(1+$A16)^5)*'Assumptions'!$B$34*'Assumptions'!$B$37-('Historical'!$D$7*(1+$A16)^5)*'Assumptions'!$H$35-('Historical'!$D$7*(1+$A16)^5)*'Assumptions'!$B$36))/(1+'Assumptions'!$B$23)^5)+(((('Historical'!$D$7*(1+$A16)^5)*('Historical'!$D$10+(B$15-'Historical'!$D$10)*5/5)*(1-'Assumptions'!$B$37)+('Historical'!$D$7*(1+$A16)^5)*'Assumptions'!$B$34*'Assumptions'!$B$37-('Historical'!$D$7*(1+$A16)^5)*'Assumptions'!$H$35-('Historical'!$D$7*(1+$A16)^5)*'Assumptions'!$B$36))*(1+'Assumptions'!$B$38)/('Assumptions'!$B$23-'Assumptions'!$B$38)/(1+'Assumptions'!$B$23)^5)-'Assumptions'!$B$10)/'Assumptions'!$B$9</f>
        <v>99.67706449106818</v>
      </c>
      <c r="C16" s="6">
        <f>((((('Historical'!$D$7*(1+$A16)^1)*('Historical'!$D$10+(C$15-'Historical'!$D$10)*1/5)*(1-'Assumptions'!$B$37)+('Historical'!$D$7*(1+$A16)^1)*'Assumptions'!$B$34*'Assumptions'!$B$37-('Historical'!$D$7*(1+$A16)^1)*'Assumptions'!$D$35-('Historical'!$D$7*(1+$A16)^1)*'Assumptions'!$B$36))/(1+'Assumptions'!$B$23)^1+((('Historical'!$D$7*(1+$A16)^2)*('Historical'!$D$10+(C$15-'Historical'!$D$10)*2/5)*(1-'Assumptions'!$B$37)+('Historical'!$D$7*(1+$A16)^2)*'Assumptions'!$B$34*'Assumptions'!$B$37-('Historical'!$D$7*(1+$A16)^2)*'Assumptions'!$E$35-('Historical'!$D$7*(1+$A16)^2)*'Assumptions'!$B$36))/(1+'Assumptions'!$B$23)^2+((('Historical'!$D$7*(1+$A16)^3)*('Historical'!$D$10+(C$15-'Historical'!$D$10)*3/5)*(1-'Assumptions'!$B$37)+('Historical'!$D$7*(1+$A16)^3)*'Assumptions'!$B$34*'Assumptions'!$B$37-('Historical'!$D$7*(1+$A16)^3)*'Assumptions'!$F$35-('Historical'!$D$7*(1+$A16)^3)*'Assumptions'!$B$36))/(1+'Assumptions'!$B$23)^3+((('Historical'!$D$7*(1+$A16)^4)*('Historical'!$D$10+(C$15-'Historical'!$D$10)*4/5)*(1-'Assumptions'!$B$37)+('Historical'!$D$7*(1+$A16)^4)*'Assumptions'!$B$34*'Assumptions'!$B$37-('Historical'!$D$7*(1+$A16)^4)*'Assumptions'!$G$35-('Historical'!$D$7*(1+$A16)^4)*'Assumptions'!$B$36))/(1+'Assumptions'!$B$23)^4+((('Historical'!$D$7*(1+$A16)^5)*('Historical'!$D$10+(C$15-'Historical'!$D$10)*5/5)*(1-'Assumptions'!$B$37)+('Historical'!$D$7*(1+$A16)^5)*'Assumptions'!$B$34*'Assumptions'!$B$37-('Historical'!$D$7*(1+$A16)^5)*'Assumptions'!$H$35-('Historical'!$D$7*(1+$A16)^5)*'Assumptions'!$B$36))/(1+'Assumptions'!$B$23)^5)+(((('Historical'!$D$7*(1+$A16)^5)*('Historical'!$D$10+(C$15-'Historical'!$D$10)*5/5)*(1-'Assumptions'!$B$37)+('Historical'!$D$7*(1+$A16)^5)*'Assumptions'!$B$34*'Assumptions'!$B$37-('Historical'!$D$7*(1+$A16)^5)*'Assumptions'!$H$35-('Historical'!$D$7*(1+$A16)^5)*'Assumptions'!$B$36))*(1+'Assumptions'!$B$38)/('Assumptions'!$B$23-'Assumptions'!$B$38)/(1+'Assumptions'!$B$23)^5)-'Assumptions'!$B$10)/'Assumptions'!$B$9</f>
        <v>104.83625816719011</v>
      </c>
      <c r="D16" s="6">
        <f>((((('Historical'!$D$7*(1+$A16)^1)*('Historical'!$D$10+(D$15-'Historical'!$D$10)*1/5)*(1-'Assumptions'!$B$37)+('Historical'!$D$7*(1+$A16)^1)*'Assumptions'!$B$34*'Assumptions'!$B$37-('Historical'!$D$7*(1+$A16)^1)*'Assumptions'!$D$35-('Historical'!$D$7*(1+$A16)^1)*'Assumptions'!$B$36))/(1+'Assumptions'!$B$23)^1+((('Historical'!$D$7*(1+$A16)^2)*('Historical'!$D$10+(D$15-'Historical'!$D$10)*2/5)*(1-'Assumptions'!$B$37)+('Historical'!$D$7*(1+$A16)^2)*'Assumptions'!$B$34*'Assumptions'!$B$37-('Historical'!$D$7*(1+$A16)^2)*'Assumptions'!$E$35-('Historical'!$D$7*(1+$A16)^2)*'Assumptions'!$B$36))/(1+'Assumptions'!$B$23)^2+((('Historical'!$D$7*(1+$A16)^3)*('Historical'!$D$10+(D$15-'Historical'!$D$10)*3/5)*(1-'Assumptions'!$B$37)+('Historical'!$D$7*(1+$A16)^3)*'Assumptions'!$B$34*'Assumptions'!$B$37-('Historical'!$D$7*(1+$A16)^3)*'Assumptions'!$F$35-('Historical'!$D$7*(1+$A16)^3)*'Assumptions'!$B$36))/(1+'Assumptions'!$B$23)^3+((('Historical'!$D$7*(1+$A16)^4)*('Historical'!$D$10+(D$15-'Historical'!$D$10)*4/5)*(1-'Assumptions'!$B$37)+('Historical'!$D$7*(1+$A16)^4)*'Assumptions'!$B$34*'Assumptions'!$B$37-('Historical'!$D$7*(1+$A16)^4)*'Assumptions'!$G$35-('Historical'!$D$7*(1+$A16)^4)*'Assumptions'!$B$36))/(1+'Assumptions'!$B$23)^4+((('Historical'!$D$7*(1+$A16)^5)*('Historical'!$D$10+(D$15-'Historical'!$D$10)*5/5)*(1-'Assumptions'!$B$37)+('Historical'!$D$7*(1+$A16)^5)*'Assumptions'!$B$34*'Assumptions'!$B$37-('Historical'!$D$7*(1+$A16)^5)*'Assumptions'!$H$35-('Historical'!$D$7*(1+$A16)^5)*'Assumptions'!$B$36))/(1+'Assumptions'!$B$23)^5)+(((('Historical'!$D$7*(1+$A16)^5)*('Historical'!$D$10+(D$15-'Historical'!$D$10)*5/5)*(1-'Assumptions'!$B$37)+('Historical'!$D$7*(1+$A16)^5)*'Assumptions'!$B$34*'Assumptions'!$B$37-('Historical'!$D$7*(1+$A16)^5)*'Assumptions'!$H$35-('Historical'!$D$7*(1+$A16)^5)*'Assumptions'!$B$36))*(1+'Assumptions'!$B$38)/('Assumptions'!$B$23-'Assumptions'!$B$38)/(1+'Assumptions'!$B$23)^5)-'Assumptions'!$B$10)/'Assumptions'!$B$9</f>
        <v>109.99545184331211</v>
      </c>
      <c r="E16" s="6">
        <f>((((('Historical'!$D$7*(1+$A16)^1)*('Historical'!$D$10+(E$15-'Historical'!$D$10)*1/5)*(1-'Assumptions'!$B$37)+('Historical'!$D$7*(1+$A16)^1)*'Assumptions'!$B$34*'Assumptions'!$B$37-('Historical'!$D$7*(1+$A16)^1)*'Assumptions'!$D$35-('Historical'!$D$7*(1+$A16)^1)*'Assumptions'!$B$36))/(1+'Assumptions'!$B$23)^1+((('Historical'!$D$7*(1+$A16)^2)*('Historical'!$D$10+(E$15-'Historical'!$D$10)*2/5)*(1-'Assumptions'!$B$37)+('Historical'!$D$7*(1+$A16)^2)*'Assumptions'!$B$34*'Assumptions'!$B$37-('Historical'!$D$7*(1+$A16)^2)*'Assumptions'!$E$35-('Historical'!$D$7*(1+$A16)^2)*'Assumptions'!$B$36))/(1+'Assumptions'!$B$23)^2+((('Historical'!$D$7*(1+$A16)^3)*('Historical'!$D$10+(E$15-'Historical'!$D$10)*3/5)*(1-'Assumptions'!$B$37)+('Historical'!$D$7*(1+$A16)^3)*'Assumptions'!$B$34*'Assumptions'!$B$37-('Historical'!$D$7*(1+$A16)^3)*'Assumptions'!$F$35-('Historical'!$D$7*(1+$A16)^3)*'Assumptions'!$B$36))/(1+'Assumptions'!$B$23)^3+((('Historical'!$D$7*(1+$A16)^4)*('Historical'!$D$10+(E$15-'Historical'!$D$10)*4/5)*(1-'Assumptions'!$B$37)+('Historical'!$D$7*(1+$A16)^4)*'Assumptions'!$B$34*'Assumptions'!$B$37-('Historical'!$D$7*(1+$A16)^4)*'Assumptions'!$G$35-('Historical'!$D$7*(1+$A16)^4)*'Assumptions'!$B$36))/(1+'Assumptions'!$B$23)^4+((('Historical'!$D$7*(1+$A16)^5)*('Historical'!$D$10+(E$15-'Historical'!$D$10)*5/5)*(1-'Assumptions'!$B$37)+('Historical'!$D$7*(1+$A16)^5)*'Assumptions'!$B$34*'Assumptions'!$B$37-('Historical'!$D$7*(1+$A16)^5)*'Assumptions'!$H$35-('Historical'!$D$7*(1+$A16)^5)*'Assumptions'!$B$36))/(1+'Assumptions'!$B$23)^5)+(((('Historical'!$D$7*(1+$A16)^5)*('Historical'!$D$10+(E$15-'Historical'!$D$10)*5/5)*(1-'Assumptions'!$B$37)+('Historical'!$D$7*(1+$A16)^5)*'Assumptions'!$B$34*'Assumptions'!$B$37-('Historical'!$D$7*(1+$A16)^5)*'Assumptions'!$H$35-('Historical'!$D$7*(1+$A16)^5)*'Assumptions'!$B$36))*(1+'Assumptions'!$B$38)/('Assumptions'!$B$23-'Assumptions'!$B$38)/(1+'Assumptions'!$B$23)^5)-'Assumptions'!$B$10)/'Assumptions'!$B$9</f>
        <v>115.15464551943408</v>
      </c>
      <c r="F16" s="6">
        <f>((((('Historical'!$D$7*(1+$A16)^1)*('Historical'!$D$10+(F$15-'Historical'!$D$10)*1/5)*(1-'Assumptions'!$B$37)+('Historical'!$D$7*(1+$A16)^1)*'Assumptions'!$B$34*'Assumptions'!$B$37-('Historical'!$D$7*(1+$A16)^1)*'Assumptions'!$D$35-('Historical'!$D$7*(1+$A16)^1)*'Assumptions'!$B$36))/(1+'Assumptions'!$B$23)^1+((('Historical'!$D$7*(1+$A16)^2)*('Historical'!$D$10+(F$15-'Historical'!$D$10)*2/5)*(1-'Assumptions'!$B$37)+('Historical'!$D$7*(1+$A16)^2)*'Assumptions'!$B$34*'Assumptions'!$B$37-('Historical'!$D$7*(1+$A16)^2)*'Assumptions'!$E$35-('Historical'!$D$7*(1+$A16)^2)*'Assumptions'!$B$36))/(1+'Assumptions'!$B$23)^2+((('Historical'!$D$7*(1+$A16)^3)*('Historical'!$D$10+(F$15-'Historical'!$D$10)*3/5)*(1-'Assumptions'!$B$37)+('Historical'!$D$7*(1+$A16)^3)*'Assumptions'!$B$34*'Assumptions'!$B$37-('Historical'!$D$7*(1+$A16)^3)*'Assumptions'!$F$35-('Historical'!$D$7*(1+$A16)^3)*'Assumptions'!$B$36))/(1+'Assumptions'!$B$23)^3+((('Historical'!$D$7*(1+$A16)^4)*('Historical'!$D$10+(F$15-'Historical'!$D$10)*4/5)*(1-'Assumptions'!$B$37)+('Historical'!$D$7*(1+$A16)^4)*'Assumptions'!$B$34*'Assumptions'!$B$37-('Historical'!$D$7*(1+$A16)^4)*'Assumptions'!$G$35-('Historical'!$D$7*(1+$A16)^4)*'Assumptions'!$B$36))/(1+'Assumptions'!$B$23)^4+((('Historical'!$D$7*(1+$A16)^5)*('Historical'!$D$10+(F$15-'Historical'!$D$10)*5/5)*(1-'Assumptions'!$B$37)+('Historical'!$D$7*(1+$A16)^5)*'Assumptions'!$B$34*'Assumptions'!$B$37-('Historical'!$D$7*(1+$A16)^5)*'Assumptions'!$H$35-('Historical'!$D$7*(1+$A16)^5)*'Assumptions'!$B$36))/(1+'Assumptions'!$B$23)^5)+(((('Historical'!$D$7*(1+$A16)^5)*('Historical'!$D$10+(F$15-'Historical'!$D$10)*5/5)*(1-'Assumptions'!$B$37)+('Historical'!$D$7*(1+$A16)^5)*'Assumptions'!$B$34*'Assumptions'!$B$37-('Historical'!$D$7*(1+$A16)^5)*'Assumptions'!$H$35-('Historical'!$D$7*(1+$A16)^5)*'Assumptions'!$B$36))*(1+'Assumptions'!$B$38)/('Assumptions'!$B$23-'Assumptions'!$B$38)/(1+'Assumptions'!$B$23)^5)-'Assumptions'!$B$10)/'Assumptions'!$B$9</f>
        <v>120.31383919555606</v>
      </c>
    </row>
    <row r="17" spans="1:8">
      <c r="A17" s="7">
        <v>0.05</v>
      </c>
      <c r="B17" s="6">
        <f>((((('Historical'!$D$7*(1+$A17)^1)*('Historical'!$D$10+(B$15-'Historical'!$D$10)*1/5)*(1-'Assumptions'!$B$37)+('Historical'!$D$7*(1+$A17)^1)*'Assumptions'!$B$34*'Assumptions'!$B$37-('Historical'!$D$7*(1+$A17)^1)*'Assumptions'!$D$35-('Historical'!$D$7*(1+$A17)^1)*'Assumptions'!$B$36))/(1+'Assumptions'!$B$23)^1+((('Historical'!$D$7*(1+$A17)^2)*('Historical'!$D$10+(B$15-'Historical'!$D$10)*2/5)*(1-'Assumptions'!$B$37)+('Historical'!$D$7*(1+$A17)^2)*'Assumptions'!$B$34*'Assumptions'!$B$37-('Historical'!$D$7*(1+$A17)^2)*'Assumptions'!$E$35-('Historical'!$D$7*(1+$A17)^2)*'Assumptions'!$B$36))/(1+'Assumptions'!$B$23)^2+((('Historical'!$D$7*(1+$A17)^3)*('Historical'!$D$10+(B$15-'Historical'!$D$10)*3/5)*(1-'Assumptions'!$B$37)+('Historical'!$D$7*(1+$A17)^3)*'Assumptions'!$B$34*'Assumptions'!$B$37-('Historical'!$D$7*(1+$A17)^3)*'Assumptions'!$F$35-('Historical'!$D$7*(1+$A17)^3)*'Assumptions'!$B$36))/(1+'Assumptions'!$B$23)^3+((('Historical'!$D$7*(1+$A17)^4)*('Historical'!$D$10+(B$15-'Historical'!$D$10)*4/5)*(1-'Assumptions'!$B$37)+('Historical'!$D$7*(1+$A17)^4)*'Assumptions'!$B$34*'Assumptions'!$B$37-('Historical'!$D$7*(1+$A17)^4)*'Assumptions'!$G$35-('Historical'!$D$7*(1+$A17)^4)*'Assumptions'!$B$36))/(1+'Assumptions'!$B$23)^4+((('Historical'!$D$7*(1+$A17)^5)*('Historical'!$D$10+(B$15-'Historical'!$D$10)*5/5)*(1-'Assumptions'!$B$37)+('Historical'!$D$7*(1+$A17)^5)*'Assumptions'!$B$34*'Assumptions'!$B$37-('Historical'!$D$7*(1+$A17)^5)*'Assumptions'!$H$35-('Historical'!$D$7*(1+$A17)^5)*'Assumptions'!$B$36))/(1+'Assumptions'!$B$23)^5)+(((('Historical'!$D$7*(1+$A17)^5)*('Historical'!$D$10+(B$15-'Historical'!$D$10)*5/5)*(1-'Assumptions'!$B$37)+('Historical'!$D$7*(1+$A17)^5)*'Assumptions'!$B$34*'Assumptions'!$B$37-('Historical'!$D$7*(1+$A17)^5)*'Assumptions'!$H$35-('Historical'!$D$7*(1+$A17)^5)*'Assumptions'!$B$36))*(1+'Assumptions'!$B$38)/('Assumptions'!$B$23-'Assumptions'!$B$38)/(1+'Assumptions'!$B$23)^5)-'Assumptions'!$B$10)/'Assumptions'!$B$9</f>
        <v>104.86004406832136</v>
      </c>
      <c r="C17" s="6">
        <f>((((('Historical'!$D$7*(1+$A17)^1)*('Historical'!$D$10+(C$15-'Historical'!$D$10)*1/5)*(1-'Assumptions'!$B$37)+('Historical'!$D$7*(1+$A17)^1)*'Assumptions'!$B$34*'Assumptions'!$B$37-('Historical'!$D$7*(1+$A17)^1)*'Assumptions'!$D$35-('Historical'!$D$7*(1+$A17)^1)*'Assumptions'!$B$36))/(1+'Assumptions'!$B$23)^1+((('Historical'!$D$7*(1+$A17)^2)*('Historical'!$D$10+(C$15-'Historical'!$D$10)*2/5)*(1-'Assumptions'!$B$37)+('Historical'!$D$7*(1+$A17)^2)*'Assumptions'!$B$34*'Assumptions'!$B$37-('Historical'!$D$7*(1+$A17)^2)*'Assumptions'!$E$35-('Historical'!$D$7*(1+$A17)^2)*'Assumptions'!$B$36))/(1+'Assumptions'!$B$23)^2+((('Historical'!$D$7*(1+$A17)^3)*('Historical'!$D$10+(C$15-'Historical'!$D$10)*3/5)*(1-'Assumptions'!$B$37)+('Historical'!$D$7*(1+$A17)^3)*'Assumptions'!$B$34*'Assumptions'!$B$37-('Historical'!$D$7*(1+$A17)^3)*'Assumptions'!$F$35-('Historical'!$D$7*(1+$A17)^3)*'Assumptions'!$B$36))/(1+'Assumptions'!$B$23)^3+((('Historical'!$D$7*(1+$A17)^4)*('Historical'!$D$10+(C$15-'Historical'!$D$10)*4/5)*(1-'Assumptions'!$B$37)+('Historical'!$D$7*(1+$A17)^4)*'Assumptions'!$B$34*'Assumptions'!$B$37-('Historical'!$D$7*(1+$A17)^4)*'Assumptions'!$G$35-('Historical'!$D$7*(1+$A17)^4)*'Assumptions'!$B$36))/(1+'Assumptions'!$B$23)^4+((('Historical'!$D$7*(1+$A17)^5)*('Historical'!$D$10+(C$15-'Historical'!$D$10)*5/5)*(1-'Assumptions'!$B$37)+('Historical'!$D$7*(1+$A17)^5)*'Assumptions'!$B$34*'Assumptions'!$B$37-('Historical'!$D$7*(1+$A17)^5)*'Assumptions'!$H$35-('Historical'!$D$7*(1+$A17)^5)*'Assumptions'!$B$36))/(1+'Assumptions'!$B$23)^5)+(((('Historical'!$D$7*(1+$A17)^5)*('Historical'!$D$10+(C$15-'Historical'!$D$10)*5/5)*(1-'Assumptions'!$B$37)+('Historical'!$D$7*(1+$A17)^5)*'Assumptions'!$B$34*'Assumptions'!$B$37-('Historical'!$D$7*(1+$A17)^5)*'Assumptions'!$H$35-('Historical'!$D$7*(1+$A17)^5)*'Assumptions'!$B$36))*(1+'Assumptions'!$B$38)/('Assumptions'!$B$23-'Assumptions'!$B$38)/(1+'Assumptions'!$B$23)^5)-'Assumptions'!$B$10)/'Assumptions'!$B$9</f>
        <v>110.2623237224369</v>
      </c>
      <c r="D17" s="6">
        <f>((((('Historical'!$D$7*(1+$A17)^1)*('Historical'!$D$10+(D$15-'Historical'!$D$10)*1/5)*(1-'Assumptions'!$B$37)+('Historical'!$D$7*(1+$A17)^1)*'Assumptions'!$B$34*'Assumptions'!$B$37-('Historical'!$D$7*(1+$A17)^1)*'Assumptions'!$D$35-('Historical'!$D$7*(1+$A17)^1)*'Assumptions'!$B$36))/(1+'Assumptions'!$B$23)^1+((('Historical'!$D$7*(1+$A17)^2)*('Historical'!$D$10+(D$15-'Historical'!$D$10)*2/5)*(1-'Assumptions'!$B$37)+('Historical'!$D$7*(1+$A17)^2)*'Assumptions'!$B$34*'Assumptions'!$B$37-('Historical'!$D$7*(1+$A17)^2)*'Assumptions'!$E$35-('Historical'!$D$7*(1+$A17)^2)*'Assumptions'!$B$36))/(1+'Assumptions'!$B$23)^2+((('Historical'!$D$7*(1+$A17)^3)*('Historical'!$D$10+(D$15-'Historical'!$D$10)*3/5)*(1-'Assumptions'!$B$37)+('Historical'!$D$7*(1+$A17)^3)*'Assumptions'!$B$34*'Assumptions'!$B$37-('Historical'!$D$7*(1+$A17)^3)*'Assumptions'!$F$35-('Historical'!$D$7*(1+$A17)^3)*'Assumptions'!$B$36))/(1+'Assumptions'!$B$23)^3+((('Historical'!$D$7*(1+$A17)^4)*('Historical'!$D$10+(D$15-'Historical'!$D$10)*4/5)*(1-'Assumptions'!$B$37)+('Historical'!$D$7*(1+$A17)^4)*'Assumptions'!$B$34*'Assumptions'!$B$37-('Historical'!$D$7*(1+$A17)^4)*'Assumptions'!$G$35-('Historical'!$D$7*(1+$A17)^4)*'Assumptions'!$B$36))/(1+'Assumptions'!$B$23)^4+((('Historical'!$D$7*(1+$A17)^5)*('Historical'!$D$10+(D$15-'Historical'!$D$10)*5/5)*(1-'Assumptions'!$B$37)+('Historical'!$D$7*(1+$A17)^5)*'Assumptions'!$B$34*'Assumptions'!$B$37-('Historical'!$D$7*(1+$A17)^5)*'Assumptions'!$H$35-('Historical'!$D$7*(1+$A17)^5)*'Assumptions'!$B$36))/(1+'Assumptions'!$B$23)^5)+(((('Historical'!$D$7*(1+$A17)^5)*('Historical'!$D$10+(D$15-'Historical'!$D$10)*5/5)*(1-'Assumptions'!$B$37)+('Historical'!$D$7*(1+$A17)^5)*'Assumptions'!$B$34*'Assumptions'!$B$37-('Historical'!$D$7*(1+$A17)^5)*'Assumptions'!$H$35-('Historical'!$D$7*(1+$A17)^5)*'Assumptions'!$B$36))*(1+'Assumptions'!$B$38)/('Assumptions'!$B$23-'Assumptions'!$B$38)/(1+'Assumptions'!$B$23)^5)-'Assumptions'!$B$10)/'Assumptions'!$B$9</f>
        <v>115.66460337655248</v>
      </c>
      <c r="E17" s="6">
        <f>((((('Historical'!$D$7*(1+$A17)^1)*('Historical'!$D$10+(E$15-'Historical'!$D$10)*1/5)*(1-'Assumptions'!$B$37)+('Historical'!$D$7*(1+$A17)^1)*'Assumptions'!$B$34*'Assumptions'!$B$37-('Historical'!$D$7*(1+$A17)^1)*'Assumptions'!$D$35-('Historical'!$D$7*(1+$A17)^1)*'Assumptions'!$B$36))/(1+'Assumptions'!$B$23)^1+((('Historical'!$D$7*(1+$A17)^2)*('Historical'!$D$10+(E$15-'Historical'!$D$10)*2/5)*(1-'Assumptions'!$B$37)+('Historical'!$D$7*(1+$A17)^2)*'Assumptions'!$B$34*'Assumptions'!$B$37-('Historical'!$D$7*(1+$A17)^2)*'Assumptions'!$E$35-('Historical'!$D$7*(1+$A17)^2)*'Assumptions'!$B$36))/(1+'Assumptions'!$B$23)^2+((('Historical'!$D$7*(1+$A17)^3)*('Historical'!$D$10+(E$15-'Historical'!$D$10)*3/5)*(1-'Assumptions'!$B$37)+('Historical'!$D$7*(1+$A17)^3)*'Assumptions'!$B$34*'Assumptions'!$B$37-('Historical'!$D$7*(1+$A17)^3)*'Assumptions'!$F$35-('Historical'!$D$7*(1+$A17)^3)*'Assumptions'!$B$36))/(1+'Assumptions'!$B$23)^3+((('Historical'!$D$7*(1+$A17)^4)*('Historical'!$D$10+(E$15-'Historical'!$D$10)*4/5)*(1-'Assumptions'!$B$37)+('Historical'!$D$7*(1+$A17)^4)*'Assumptions'!$B$34*'Assumptions'!$B$37-('Historical'!$D$7*(1+$A17)^4)*'Assumptions'!$G$35-('Historical'!$D$7*(1+$A17)^4)*'Assumptions'!$B$36))/(1+'Assumptions'!$B$23)^4+((('Historical'!$D$7*(1+$A17)^5)*('Historical'!$D$10+(E$15-'Historical'!$D$10)*5/5)*(1-'Assumptions'!$B$37)+('Historical'!$D$7*(1+$A17)^5)*'Assumptions'!$B$34*'Assumptions'!$B$37-('Historical'!$D$7*(1+$A17)^5)*'Assumptions'!$H$35-('Historical'!$D$7*(1+$A17)^5)*'Assumptions'!$B$36))/(1+'Assumptions'!$B$23)^5)+(((('Historical'!$D$7*(1+$A17)^5)*('Historical'!$D$10+(E$15-'Historical'!$D$10)*5/5)*(1-'Assumptions'!$B$37)+('Historical'!$D$7*(1+$A17)^5)*'Assumptions'!$B$34*'Assumptions'!$B$37-('Historical'!$D$7*(1+$A17)^5)*'Assumptions'!$H$35-('Historical'!$D$7*(1+$A17)^5)*'Assumptions'!$B$36))*(1+'Assumptions'!$B$38)/('Assumptions'!$B$23-'Assumptions'!$B$38)/(1+'Assumptions'!$B$23)^5)-'Assumptions'!$B$10)/'Assumptions'!$B$9</f>
        <v>121.06688303066805</v>
      </c>
      <c r="F17" s="6">
        <f>((((('Historical'!$D$7*(1+$A17)^1)*('Historical'!$D$10+(F$15-'Historical'!$D$10)*1/5)*(1-'Assumptions'!$B$37)+('Historical'!$D$7*(1+$A17)^1)*'Assumptions'!$B$34*'Assumptions'!$B$37-('Historical'!$D$7*(1+$A17)^1)*'Assumptions'!$D$35-('Historical'!$D$7*(1+$A17)^1)*'Assumptions'!$B$36))/(1+'Assumptions'!$B$23)^1+((('Historical'!$D$7*(1+$A17)^2)*('Historical'!$D$10+(F$15-'Historical'!$D$10)*2/5)*(1-'Assumptions'!$B$37)+('Historical'!$D$7*(1+$A17)^2)*'Assumptions'!$B$34*'Assumptions'!$B$37-('Historical'!$D$7*(1+$A17)^2)*'Assumptions'!$E$35-('Historical'!$D$7*(1+$A17)^2)*'Assumptions'!$B$36))/(1+'Assumptions'!$B$23)^2+((('Historical'!$D$7*(1+$A17)^3)*('Historical'!$D$10+(F$15-'Historical'!$D$10)*3/5)*(1-'Assumptions'!$B$37)+('Historical'!$D$7*(1+$A17)^3)*'Assumptions'!$B$34*'Assumptions'!$B$37-('Historical'!$D$7*(1+$A17)^3)*'Assumptions'!$F$35-('Historical'!$D$7*(1+$A17)^3)*'Assumptions'!$B$36))/(1+'Assumptions'!$B$23)^3+((('Historical'!$D$7*(1+$A17)^4)*('Historical'!$D$10+(F$15-'Historical'!$D$10)*4/5)*(1-'Assumptions'!$B$37)+('Historical'!$D$7*(1+$A17)^4)*'Assumptions'!$B$34*'Assumptions'!$B$37-('Historical'!$D$7*(1+$A17)^4)*'Assumptions'!$G$35-('Historical'!$D$7*(1+$A17)^4)*'Assumptions'!$B$36))/(1+'Assumptions'!$B$23)^4+((('Historical'!$D$7*(1+$A17)^5)*('Historical'!$D$10+(F$15-'Historical'!$D$10)*5/5)*(1-'Assumptions'!$B$37)+('Historical'!$D$7*(1+$A17)^5)*'Assumptions'!$B$34*'Assumptions'!$B$37-('Historical'!$D$7*(1+$A17)^5)*'Assumptions'!$H$35-('Historical'!$D$7*(1+$A17)^5)*'Assumptions'!$B$36))/(1+'Assumptions'!$B$23)^5)+(((('Historical'!$D$7*(1+$A17)^5)*('Historical'!$D$10+(F$15-'Historical'!$D$10)*5/5)*(1-'Assumptions'!$B$37)+('Historical'!$D$7*(1+$A17)^5)*'Assumptions'!$B$34*'Assumptions'!$B$37-('Historical'!$D$7*(1+$A17)^5)*'Assumptions'!$H$35-('Historical'!$D$7*(1+$A17)^5)*'Assumptions'!$B$36))*(1+'Assumptions'!$B$38)/('Assumptions'!$B$23-'Assumptions'!$B$38)/(1+'Assumptions'!$B$23)^5)-'Assumptions'!$B$10)/'Assumptions'!$B$9</f>
        <v>126.46916268478367</v>
      </c>
    </row>
    <row r="18" spans="1:8">
      <c r="A18" s="7">
        <v>0.06</v>
      </c>
      <c r="B18" s="6">
        <f>((((('Historical'!$D$7*(1+$A18)^1)*('Historical'!$D$10+(B$15-'Historical'!$D$10)*1/5)*(1-'Assumptions'!$B$37)+('Historical'!$D$7*(1+$A18)^1)*'Assumptions'!$B$34*'Assumptions'!$B$37-('Historical'!$D$7*(1+$A18)^1)*'Assumptions'!$D$35-('Historical'!$D$7*(1+$A18)^1)*'Assumptions'!$B$36))/(1+'Assumptions'!$B$23)^1+((('Historical'!$D$7*(1+$A18)^2)*('Historical'!$D$10+(B$15-'Historical'!$D$10)*2/5)*(1-'Assumptions'!$B$37)+('Historical'!$D$7*(1+$A18)^2)*'Assumptions'!$B$34*'Assumptions'!$B$37-('Historical'!$D$7*(1+$A18)^2)*'Assumptions'!$E$35-('Historical'!$D$7*(1+$A18)^2)*'Assumptions'!$B$36))/(1+'Assumptions'!$B$23)^2+((('Historical'!$D$7*(1+$A18)^3)*('Historical'!$D$10+(B$15-'Historical'!$D$10)*3/5)*(1-'Assumptions'!$B$37)+('Historical'!$D$7*(1+$A18)^3)*'Assumptions'!$B$34*'Assumptions'!$B$37-('Historical'!$D$7*(1+$A18)^3)*'Assumptions'!$F$35-('Historical'!$D$7*(1+$A18)^3)*'Assumptions'!$B$36))/(1+'Assumptions'!$B$23)^3+((('Historical'!$D$7*(1+$A18)^4)*('Historical'!$D$10+(B$15-'Historical'!$D$10)*4/5)*(1-'Assumptions'!$B$37)+('Historical'!$D$7*(1+$A18)^4)*'Assumptions'!$B$34*'Assumptions'!$B$37-('Historical'!$D$7*(1+$A18)^4)*'Assumptions'!$G$35-('Historical'!$D$7*(1+$A18)^4)*'Assumptions'!$B$36))/(1+'Assumptions'!$B$23)^4+((('Historical'!$D$7*(1+$A18)^5)*('Historical'!$D$10+(B$15-'Historical'!$D$10)*5/5)*(1-'Assumptions'!$B$37)+('Historical'!$D$7*(1+$A18)^5)*'Assumptions'!$B$34*'Assumptions'!$B$37-('Historical'!$D$7*(1+$A18)^5)*'Assumptions'!$H$35-('Historical'!$D$7*(1+$A18)^5)*'Assumptions'!$B$36))/(1+'Assumptions'!$B$23)^5)+(((('Historical'!$D$7*(1+$A18)^5)*('Historical'!$D$10+(B$15-'Historical'!$D$10)*5/5)*(1-'Assumptions'!$B$37)+('Historical'!$D$7*(1+$A18)^5)*'Assumptions'!$B$34*'Assumptions'!$B$37-('Historical'!$D$7*(1+$A18)^5)*'Assumptions'!$H$35-('Historical'!$D$7*(1+$A18)^5)*'Assumptions'!$B$36))*(1+'Assumptions'!$B$38)/('Assumptions'!$B$23-'Assumptions'!$B$38)/(1+'Assumptions'!$B$23)^5)-'Assumptions'!$B$10)/'Assumptions'!$B$9</f>
        <v>110.23489723841222</v>
      </c>
      <c r="C18" s="6">
        <f>((((('Historical'!$D$7*(1+$A18)^1)*('Historical'!$D$10+(C$15-'Historical'!$D$10)*1/5)*(1-'Assumptions'!$B$37)+('Historical'!$D$7*(1+$A18)^1)*'Assumptions'!$B$34*'Assumptions'!$B$37-('Historical'!$D$7*(1+$A18)^1)*'Assumptions'!$D$35-('Historical'!$D$7*(1+$A18)^1)*'Assumptions'!$B$36))/(1+'Assumptions'!$B$23)^1+((('Historical'!$D$7*(1+$A18)^2)*('Historical'!$D$10+(C$15-'Historical'!$D$10)*2/5)*(1-'Assumptions'!$B$37)+('Historical'!$D$7*(1+$A18)^2)*'Assumptions'!$B$34*'Assumptions'!$B$37-('Historical'!$D$7*(1+$A18)^2)*'Assumptions'!$E$35-('Historical'!$D$7*(1+$A18)^2)*'Assumptions'!$B$36))/(1+'Assumptions'!$B$23)^2+((('Historical'!$D$7*(1+$A18)^3)*('Historical'!$D$10+(C$15-'Historical'!$D$10)*3/5)*(1-'Assumptions'!$B$37)+('Historical'!$D$7*(1+$A18)^3)*'Assumptions'!$B$34*'Assumptions'!$B$37-('Historical'!$D$7*(1+$A18)^3)*'Assumptions'!$F$35-('Historical'!$D$7*(1+$A18)^3)*'Assumptions'!$B$36))/(1+'Assumptions'!$B$23)^3+((('Historical'!$D$7*(1+$A18)^4)*('Historical'!$D$10+(C$15-'Historical'!$D$10)*4/5)*(1-'Assumptions'!$B$37)+('Historical'!$D$7*(1+$A18)^4)*'Assumptions'!$B$34*'Assumptions'!$B$37-('Historical'!$D$7*(1+$A18)^4)*'Assumptions'!$G$35-('Historical'!$D$7*(1+$A18)^4)*'Assumptions'!$B$36))/(1+'Assumptions'!$B$23)^4+((('Historical'!$D$7*(1+$A18)^5)*('Historical'!$D$10+(C$15-'Historical'!$D$10)*5/5)*(1-'Assumptions'!$B$37)+('Historical'!$D$7*(1+$A18)^5)*'Assumptions'!$B$34*'Assumptions'!$B$37-('Historical'!$D$7*(1+$A18)^5)*'Assumptions'!$H$35-('Historical'!$D$7*(1+$A18)^5)*'Assumptions'!$B$36))/(1+'Assumptions'!$B$23)^5)+(((('Historical'!$D$7*(1+$A18)^5)*('Historical'!$D$10+(C$15-'Historical'!$D$10)*5/5)*(1-'Assumptions'!$B$37)+('Historical'!$D$7*(1+$A18)^5)*'Assumptions'!$B$34*'Assumptions'!$B$37-('Historical'!$D$7*(1+$A18)^5)*'Assumptions'!$H$35-('Historical'!$D$7*(1+$A18)^5)*'Assumptions'!$B$36))*(1+'Assumptions'!$B$38)/('Assumptions'!$B$23-'Assumptions'!$B$38)/(1+'Assumptions'!$B$23)^5)-'Assumptions'!$B$10)/'Assumptions'!$B$9</f>
        <v>115.8894712041883</v>
      </c>
      <c r="D18" s="6">
        <f>((((('Historical'!$D$7*(1+$A18)^1)*('Historical'!$D$10+(D$15-'Historical'!$D$10)*1/5)*(1-'Assumptions'!$B$37)+('Historical'!$D$7*(1+$A18)^1)*'Assumptions'!$B$34*'Assumptions'!$B$37-('Historical'!$D$7*(1+$A18)^1)*'Assumptions'!$D$35-('Historical'!$D$7*(1+$A18)^1)*'Assumptions'!$B$36))/(1+'Assumptions'!$B$23)^1+((('Historical'!$D$7*(1+$A18)^2)*('Historical'!$D$10+(D$15-'Historical'!$D$10)*2/5)*(1-'Assumptions'!$B$37)+('Historical'!$D$7*(1+$A18)^2)*'Assumptions'!$B$34*'Assumptions'!$B$37-('Historical'!$D$7*(1+$A18)^2)*'Assumptions'!$E$35-('Historical'!$D$7*(1+$A18)^2)*'Assumptions'!$B$36))/(1+'Assumptions'!$B$23)^2+((('Historical'!$D$7*(1+$A18)^3)*('Historical'!$D$10+(D$15-'Historical'!$D$10)*3/5)*(1-'Assumptions'!$B$37)+('Historical'!$D$7*(1+$A18)^3)*'Assumptions'!$B$34*'Assumptions'!$B$37-('Historical'!$D$7*(1+$A18)^3)*'Assumptions'!$F$35-('Historical'!$D$7*(1+$A18)^3)*'Assumptions'!$B$36))/(1+'Assumptions'!$B$23)^3+((('Historical'!$D$7*(1+$A18)^4)*('Historical'!$D$10+(D$15-'Historical'!$D$10)*4/5)*(1-'Assumptions'!$B$37)+('Historical'!$D$7*(1+$A18)^4)*'Assumptions'!$B$34*'Assumptions'!$B$37-('Historical'!$D$7*(1+$A18)^4)*'Assumptions'!$G$35-('Historical'!$D$7*(1+$A18)^4)*'Assumptions'!$B$36))/(1+'Assumptions'!$B$23)^4+((('Historical'!$D$7*(1+$A18)^5)*('Historical'!$D$10+(D$15-'Historical'!$D$10)*5/5)*(1-'Assumptions'!$B$37)+('Historical'!$D$7*(1+$A18)^5)*'Assumptions'!$B$34*'Assumptions'!$B$37-('Historical'!$D$7*(1+$A18)^5)*'Assumptions'!$H$35-('Historical'!$D$7*(1+$A18)^5)*'Assumptions'!$B$36))/(1+'Assumptions'!$B$23)^5)+(((('Historical'!$D$7*(1+$A18)^5)*('Historical'!$D$10+(D$15-'Historical'!$D$10)*5/5)*(1-'Assumptions'!$B$37)+('Historical'!$D$7*(1+$A18)^5)*'Assumptions'!$B$34*'Assumptions'!$B$37-('Historical'!$D$7*(1+$A18)^5)*'Assumptions'!$H$35-('Historical'!$D$7*(1+$A18)^5)*'Assumptions'!$B$36))*(1+'Assumptions'!$B$38)/('Assumptions'!$B$23-'Assumptions'!$B$38)/(1+'Assumptions'!$B$23)^5)-'Assumptions'!$B$10)/'Assumptions'!$B$9</f>
        <v>121.54404516996435</v>
      </c>
      <c r="E18" s="6">
        <f>((((('Historical'!$D$7*(1+$A18)^1)*('Historical'!$D$10+(E$15-'Historical'!$D$10)*1/5)*(1-'Assumptions'!$B$37)+('Historical'!$D$7*(1+$A18)^1)*'Assumptions'!$B$34*'Assumptions'!$B$37-('Historical'!$D$7*(1+$A18)^1)*'Assumptions'!$D$35-('Historical'!$D$7*(1+$A18)^1)*'Assumptions'!$B$36))/(1+'Assumptions'!$B$23)^1+((('Historical'!$D$7*(1+$A18)^2)*('Historical'!$D$10+(E$15-'Historical'!$D$10)*2/5)*(1-'Assumptions'!$B$37)+('Historical'!$D$7*(1+$A18)^2)*'Assumptions'!$B$34*'Assumptions'!$B$37-('Historical'!$D$7*(1+$A18)^2)*'Assumptions'!$E$35-('Historical'!$D$7*(1+$A18)^2)*'Assumptions'!$B$36))/(1+'Assumptions'!$B$23)^2+((('Historical'!$D$7*(1+$A18)^3)*('Historical'!$D$10+(E$15-'Historical'!$D$10)*3/5)*(1-'Assumptions'!$B$37)+('Historical'!$D$7*(1+$A18)^3)*'Assumptions'!$B$34*'Assumptions'!$B$37-('Historical'!$D$7*(1+$A18)^3)*'Assumptions'!$F$35-('Historical'!$D$7*(1+$A18)^3)*'Assumptions'!$B$36))/(1+'Assumptions'!$B$23)^3+((('Historical'!$D$7*(1+$A18)^4)*('Historical'!$D$10+(E$15-'Historical'!$D$10)*4/5)*(1-'Assumptions'!$B$37)+('Historical'!$D$7*(1+$A18)^4)*'Assumptions'!$B$34*'Assumptions'!$B$37-('Historical'!$D$7*(1+$A18)^4)*'Assumptions'!$G$35-('Historical'!$D$7*(1+$A18)^4)*'Assumptions'!$B$36))/(1+'Assumptions'!$B$23)^4+((('Historical'!$D$7*(1+$A18)^5)*('Historical'!$D$10+(E$15-'Historical'!$D$10)*5/5)*(1-'Assumptions'!$B$37)+('Historical'!$D$7*(1+$A18)^5)*'Assumptions'!$B$34*'Assumptions'!$B$37-('Historical'!$D$7*(1+$A18)^5)*'Assumptions'!$H$35-('Historical'!$D$7*(1+$A18)^5)*'Assumptions'!$B$36))/(1+'Assumptions'!$B$23)^5)+(((('Historical'!$D$7*(1+$A18)^5)*('Historical'!$D$10+(E$15-'Historical'!$D$10)*5/5)*(1-'Assumptions'!$B$37)+('Historical'!$D$7*(1+$A18)^5)*'Assumptions'!$B$34*'Assumptions'!$B$37-('Historical'!$D$7*(1+$A18)^5)*'Assumptions'!$H$35-('Historical'!$D$7*(1+$A18)^5)*'Assumptions'!$B$36))*(1+'Assumptions'!$B$38)/('Assumptions'!$B$23-'Assumptions'!$B$38)/(1+'Assumptions'!$B$23)^5)-'Assumptions'!$B$10)/'Assumptions'!$B$9</f>
        <v>127.19861913574043</v>
      </c>
      <c r="F18" s="6">
        <f>((((('Historical'!$D$7*(1+$A18)^1)*('Historical'!$D$10+(F$15-'Historical'!$D$10)*1/5)*(1-'Assumptions'!$B$37)+('Historical'!$D$7*(1+$A18)^1)*'Assumptions'!$B$34*'Assumptions'!$B$37-('Historical'!$D$7*(1+$A18)^1)*'Assumptions'!$D$35-('Historical'!$D$7*(1+$A18)^1)*'Assumptions'!$B$36))/(1+'Assumptions'!$B$23)^1+((('Historical'!$D$7*(1+$A18)^2)*('Historical'!$D$10+(F$15-'Historical'!$D$10)*2/5)*(1-'Assumptions'!$B$37)+('Historical'!$D$7*(1+$A18)^2)*'Assumptions'!$B$34*'Assumptions'!$B$37-('Historical'!$D$7*(1+$A18)^2)*'Assumptions'!$E$35-('Historical'!$D$7*(1+$A18)^2)*'Assumptions'!$B$36))/(1+'Assumptions'!$B$23)^2+((('Historical'!$D$7*(1+$A18)^3)*('Historical'!$D$10+(F$15-'Historical'!$D$10)*3/5)*(1-'Assumptions'!$B$37)+('Historical'!$D$7*(1+$A18)^3)*'Assumptions'!$B$34*'Assumptions'!$B$37-('Historical'!$D$7*(1+$A18)^3)*'Assumptions'!$F$35-('Historical'!$D$7*(1+$A18)^3)*'Assumptions'!$B$36))/(1+'Assumptions'!$B$23)^3+((('Historical'!$D$7*(1+$A18)^4)*('Historical'!$D$10+(F$15-'Historical'!$D$10)*4/5)*(1-'Assumptions'!$B$37)+('Historical'!$D$7*(1+$A18)^4)*'Assumptions'!$B$34*'Assumptions'!$B$37-('Historical'!$D$7*(1+$A18)^4)*'Assumptions'!$G$35-('Historical'!$D$7*(1+$A18)^4)*'Assumptions'!$B$36))/(1+'Assumptions'!$B$23)^4+((('Historical'!$D$7*(1+$A18)^5)*('Historical'!$D$10+(F$15-'Historical'!$D$10)*5/5)*(1-'Assumptions'!$B$37)+('Historical'!$D$7*(1+$A18)^5)*'Assumptions'!$B$34*'Assumptions'!$B$37-('Historical'!$D$7*(1+$A18)^5)*'Assumptions'!$H$35-('Historical'!$D$7*(1+$A18)^5)*'Assumptions'!$B$36))/(1+'Assumptions'!$B$23)^5)+(((('Historical'!$D$7*(1+$A18)^5)*('Historical'!$D$10+(F$15-'Historical'!$D$10)*5/5)*(1-'Assumptions'!$B$37)+('Historical'!$D$7*(1+$A18)^5)*'Assumptions'!$B$34*'Assumptions'!$B$37-('Historical'!$D$7*(1+$A18)^5)*'Assumptions'!$H$35-('Historical'!$D$7*(1+$A18)^5)*'Assumptions'!$B$36))*(1+'Assumptions'!$B$38)/('Assumptions'!$B$23-'Assumptions'!$B$38)/(1+'Assumptions'!$B$23)^5)-'Assumptions'!$B$10)/'Assumptions'!$B$9</f>
        <v>132.85319310151652</v>
      </c>
    </row>
    <row r="19" spans="1:8">
      <c r="A19" s="7">
        <v>0.07000000000000001</v>
      </c>
      <c r="B19" s="6">
        <f>((((('Historical'!$D$7*(1+$A19)^1)*('Historical'!$D$10+(B$15-'Historical'!$D$10)*1/5)*(1-'Assumptions'!$B$37)+('Historical'!$D$7*(1+$A19)^1)*'Assumptions'!$B$34*'Assumptions'!$B$37-('Historical'!$D$7*(1+$A19)^1)*'Assumptions'!$D$35-('Historical'!$D$7*(1+$A19)^1)*'Assumptions'!$B$36))/(1+'Assumptions'!$B$23)^1+((('Historical'!$D$7*(1+$A19)^2)*('Historical'!$D$10+(B$15-'Historical'!$D$10)*2/5)*(1-'Assumptions'!$B$37)+('Historical'!$D$7*(1+$A19)^2)*'Assumptions'!$B$34*'Assumptions'!$B$37-('Historical'!$D$7*(1+$A19)^2)*'Assumptions'!$E$35-('Historical'!$D$7*(1+$A19)^2)*'Assumptions'!$B$36))/(1+'Assumptions'!$B$23)^2+((('Historical'!$D$7*(1+$A19)^3)*('Historical'!$D$10+(B$15-'Historical'!$D$10)*3/5)*(1-'Assumptions'!$B$37)+('Historical'!$D$7*(1+$A19)^3)*'Assumptions'!$B$34*'Assumptions'!$B$37-('Historical'!$D$7*(1+$A19)^3)*'Assumptions'!$F$35-('Historical'!$D$7*(1+$A19)^3)*'Assumptions'!$B$36))/(1+'Assumptions'!$B$23)^3+((('Historical'!$D$7*(1+$A19)^4)*('Historical'!$D$10+(B$15-'Historical'!$D$10)*4/5)*(1-'Assumptions'!$B$37)+('Historical'!$D$7*(1+$A19)^4)*'Assumptions'!$B$34*'Assumptions'!$B$37-('Historical'!$D$7*(1+$A19)^4)*'Assumptions'!$G$35-('Historical'!$D$7*(1+$A19)^4)*'Assumptions'!$B$36))/(1+'Assumptions'!$B$23)^4+((('Historical'!$D$7*(1+$A19)^5)*('Historical'!$D$10+(B$15-'Historical'!$D$10)*5/5)*(1-'Assumptions'!$B$37)+('Historical'!$D$7*(1+$A19)^5)*'Assumptions'!$B$34*'Assumptions'!$B$37-('Historical'!$D$7*(1+$A19)^5)*'Assumptions'!$H$35-('Historical'!$D$7*(1+$A19)^5)*'Assumptions'!$B$36))/(1+'Assumptions'!$B$23)^5)+(((('Historical'!$D$7*(1+$A19)^5)*('Historical'!$D$10+(B$15-'Historical'!$D$10)*5/5)*(1-'Assumptions'!$B$37)+('Historical'!$D$7*(1+$A19)^5)*'Assumptions'!$B$34*'Assumptions'!$B$37-('Historical'!$D$7*(1+$A19)^5)*'Assumptions'!$H$35-('Historical'!$D$7*(1+$A19)^5)*'Assumptions'!$B$36))*(1+'Assumptions'!$B$38)/('Assumptions'!$B$23-'Assumptions'!$B$38)/(1+'Assumptions'!$B$23)^5)-'Assumptions'!$B$10)/'Assumptions'!$B$9</f>
        <v>115.80702583289342</v>
      </c>
      <c r="C19" s="6">
        <f>((((('Historical'!$D$7*(1+$A19)^1)*('Historical'!$D$10+(C$15-'Historical'!$D$10)*1/5)*(1-'Assumptions'!$B$37)+('Historical'!$D$7*(1+$A19)^1)*'Assumptions'!$B$34*'Assumptions'!$B$37-('Historical'!$D$7*(1+$A19)^1)*'Assumptions'!$D$35-('Historical'!$D$7*(1+$A19)^1)*'Assumptions'!$B$36))/(1+'Assumptions'!$B$23)^1+((('Historical'!$D$7*(1+$A19)^2)*('Historical'!$D$10+(C$15-'Historical'!$D$10)*2/5)*(1-'Assumptions'!$B$37)+('Historical'!$D$7*(1+$A19)^2)*'Assumptions'!$B$34*'Assumptions'!$B$37-('Historical'!$D$7*(1+$A19)^2)*'Assumptions'!$E$35-('Historical'!$D$7*(1+$A19)^2)*'Assumptions'!$B$36))/(1+'Assumptions'!$B$23)^2+((('Historical'!$D$7*(1+$A19)^3)*('Historical'!$D$10+(C$15-'Historical'!$D$10)*3/5)*(1-'Assumptions'!$B$37)+('Historical'!$D$7*(1+$A19)^3)*'Assumptions'!$B$34*'Assumptions'!$B$37-('Historical'!$D$7*(1+$A19)^3)*'Assumptions'!$F$35-('Historical'!$D$7*(1+$A19)^3)*'Assumptions'!$B$36))/(1+'Assumptions'!$B$23)^3+((('Historical'!$D$7*(1+$A19)^4)*('Historical'!$D$10+(C$15-'Historical'!$D$10)*4/5)*(1-'Assumptions'!$B$37)+('Historical'!$D$7*(1+$A19)^4)*'Assumptions'!$B$34*'Assumptions'!$B$37-('Historical'!$D$7*(1+$A19)^4)*'Assumptions'!$G$35-('Historical'!$D$7*(1+$A19)^4)*'Assumptions'!$B$36))/(1+'Assumptions'!$B$23)^4+((('Historical'!$D$7*(1+$A19)^5)*('Historical'!$D$10+(C$15-'Historical'!$D$10)*5/5)*(1-'Assumptions'!$B$37)+('Historical'!$D$7*(1+$A19)^5)*'Assumptions'!$B$34*'Assumptions'!$B$37-('Historical'!$D$7*(1+$A19)^5)*'Assumptions'!$H$35-('Historical'!$D$7*(1+$A19)^5)*'Assumptions'!$B$36))/(1+'Assumptions'!$B$23)^5)+(((('Historical'!$D$7*(1+$A19)^5)*('Historical'!$D$10+(C$15-'Historical'!$D$10)*5/5)*(1-'Assumptions'!$B$37)+('Historical'!$D$7*(1+$A19)^5)*'Assumptions'!$B$34*'Assumptions'!$B$37-('Historical'!$D$7*(1+$A19)^5)*'Assumptions'!$H$35-('Historical'!$D$7*(1+$A19)^5)*'Assumptions'!$B$36))*(1+'Assumptions'!$B$38)/('Assumptions'!$B$23-'Assumptions'!$B$38)/(1+'Assumptions'!$B$23)^5)-'Assumptions'!$B$10)/'Assumptions'!$B$9</f>
        <v>121.72336389014336</v>
      </c>
      <c r="D19" s="6">
        <f>((((('Historical'!$D$7*(1+$A19)^1)*('Historical'!$D$10+(D$15-'Historical'!$D$10)*1/5)*(1-'Assumptions'!$B$37)+('Historical'!$D$7*(1+$A19)^1)*'Assumptions'!$B$34*'Assumptions'!$B$37-('Historical'!$D$7*(1+$A19)^1)*'Assumptions'!$D$35-('Historical'!$D$7*(1+$A19)^1)*'Assumptions'!$B$36))/(1+'Assumptions'!$B$23)^1+((('Historical'!$D$7*(1+$A19)^2)*('Historical'!$D$10+(D$15-'Historical'!$D$10)*2/5)*(1-'Assumptions'!$B$37)+('Historical'!$D$7*(1+$A19)^2)*'Assumptions'!$B$34*'Assumptions'!$B$37-('Historical'!$D$7*(1+$A19)^2)*'Assumptions'!$E$35-('Historical'!$D$7*(1+$A19)^2)*'Assumptions'!$B$36))/(1+'Assumptions'!$B$23)^2+((('Historical'!$D$7*(1+$A19)^3)*('Historical'!$D$10+(D$15-'Historical'!$D$10)*3/5)*(1-'Assumptions'!$B$37)+('Historical'!$D$7*(1+$A19)^3)*'Assumptions'!$B$34*'Assumptions'!$B$37-('Historical'!$D$7*(1+$A19)^3)*'Assumptions'!$F$35-('Historical'!$D$7*(1+$A19)^3)*'Assumptions'!$B$36))/(1+'Assumptions'!$B$23)^3+((('Historical'!$D$7*(1+$A19)^4)*('Historical'!$D$10+(D$15-'Historical'!$D$10)*4/5)*(1-'Assumptions'!$B$37)+('Historical'!$D$7*(1+$A19)^4)*'Assumptions'!$B$34*'Assumptions'!$B$37-('Historical'!$D$7*(1+$A19)^4)*'Assumptions'!$G$35-('Historical'!$D$7*(1+$A19)^4)*'Assumptions'!$B$36))/(1+'Assumptions'!$B$23)^4+((('Historical'!$D$7*(1+$A19)^5)*('Historical'!$D$10+(D$15-'Historical'!$D$10)*5/5)*(1-'Assumptions'!$B$37)+('Historical'!$D$7*(1+$A19)^5)*'Assumptions'!$B$34*'Assumptions'!$B$37-('Historical'!$D$7*(1+$A19)^5)*'Assumptions'!$H$35-('Historical'!$D$7*(1+$A19)^5)*'Assumptions'!$B$36))/(1+'Assumptions'!$B$23)^5)+(((('Historical'!$D$7*(1+$A19)^5)*('Historical'!$D$10+(D$15-'Historical'!$D$10)*5/5)*(1-'Assumptions'!$B$37)+('Historical'!$D$7*(1+$A19)^5)*'Assumptions'!$B$34*'Assumptions'!$B$37-('Historical'!$D$7*(1+$A19)^5)*'Assumptions'!$H$35-('Historical'!$D$7*(1+$A19)^5)*'Assumptions'!$B$36))*(1+'Assumptions'!$B$38)/('Assumptions'!$B$23-'Assumptions'!$B$38)/(1+'Assumptions'!$B$23)^5)-'Assumptions'!$B$10)/'Assumptions'!$B$9</f>
        <v>127.63970194739328</v>
      </c>
      <c r="E19" s="6">
        <f>((((('Historical'!$D$7*(1+$A19)^1)*('Historical'!$D$10+(E$15-'Historical'!$D$10)*1/5)*(1-'Assumptions'!$B$37)+('Historical'!$D$7*(1+$A19)^1)*'Assumptions'!$B$34*'Assumptions'!$B$37-('Historical'!$D$7*(1+$A19)^1)*'Assumptions'!$D$35-('Historical'!$D$7*(1+$A19)^1)*'Assumptions'!$B$36))/(1+'Assumptions'!$B$23)^1+((('Historical'!$D$7*(1+$A19)^2)*('Historical'!$D$10+(E$15-'Historical'!$D$10)*2/5)*(1-'Assumptions'!$B$37)+('Historical'!$D$7*(1+$A19)^2)*'Assumptions'!$B$34*'Assumptions'!$B$37-('Historical'!$D$7*(1+$A19)^2)*'Assumptions'!$E$35-('Historical'!$D$7*(1+$A19)^2)*'Assumptions'!$B$36))/(1+'Assumptions'!$B$23)^2+((('Historical'!$D$7*(1+$A19)^3)*('Historical'!$D$10+(E$15-'Historical'!$D$10)*3/5)*(1-'Assumptions'!$B$37)+('Historical'!$D$7*(1+$A19)^3)*'Assumptions'!$B$34*'Assumptions'!$B$37-('Historical'!$D$7*(1+$A19)^3)*'Assumptions'!$F$35-('Historical'!$D$7*(1+$A19)^3)*'Assumptions'!$B$36))/(1+'Assumptions'!$B$23)^3+((('Historical'!$D$7*(1+$A19)^4)*('Historical'!$D$10+(E$15-'Historical'!$D$10)*4/5)*(1-'Assumptions'!$B$37)+('Historical'!$D$7*(1+$A19)^4)*'Assumptions'!$B$34*'Assumptions'!$B$37-('Historical'!$D$7*(1+$A19)^4)*'Assumptions'!$G$35-('Historical'!$D$7*(1+$A19)^4)*'Assumptions'!$B$36))/(1+'Assumptions'!$B$23)^4+((('Historical'!$D$7*(1+$A19)^5)*('Historical'!$D$10+(E$15-'Historical'!$D$10)*5/5)*(1-'Assumptions'!$B$37)+('Historical'!$D$7*(1+$A19)^5)*'Assumptions'!$B$34*'Assumptions'!$B$37-('Historical'!$D$7*(1+$A19)^5)*'Assumptions'!$H$35-('Historical'!$D$7*(1+$A19)^5)*'Assumptions'!$B$36))/(1+'Assumptions'!$B$23)^5)+(((('Historical'!$D$7*(1+$A19)^5)*('Historical'!$D$10+(E$15-'Historical'!$D$10)*5/5)*(1-'Assumptions'!$B$37)+('Historical'!$D$7*(1+$A19)^5)*'Assumptions'!$B$34*'Assumptions'!$B$37-('Historical'!$D$7*(1+$A19)^5)*'Assumptions'!$H$35-('Historical'!$D$7*(1+$A19)^5)*'Assumptions'!$B$36))*(1+'Assumptions'!$B$38)/('Assumptions'!$B$23-'Assumptions'!$B$38)/(1+'Assumptions'!$B$23)^5)-'Assumptions'!$B$10)/'Assumptions'!$B$9</f>
        <v>133.55604000464322</v>
      </c>
      <c r="F19" s="6">
        <f>((((('Historical'!$D$7*(1+$A19)^1)*('Historical'!$D$10+(F$15-'Historical'!$D$10)*1/5)*(1-'Assumptions'!$B$37)+('Historical'!$D$7*(1+$A19)^1)*'Assumptions'!$B$34*'Assumptions'!$B$37-('Historical'!$D$7*(1+$A19)^1)*'Assumptions'!$D$35-('Historical'!$D$7*(1+$A19)^1)*'Assumptions'!$B$36))/(1+'Assumptions'!$B$23)^1+((('Historical'!$D$7*(1+$A19)^2)*('Historical'!$D$10+(F$15-'Historical'!$D$10)*2/5)*(1-'Assumptions'!$B$37)+('Historical'!$D$7*(1+$A19)^2)*'Assumptions'!$B$34*'Assumptions'!$B$37-('Historical'!$D$7*(1+$A19)^2)*'Assumptions'!$E$35-('Historical'!$D$7*(1+$A19)^2)*'Assumptions'!$B$36))/(1+'Assumptions'!$B$23)^2+((('Historical'!$D$7*(1+$A19)^3)*('Historical'!$D$10+(F$15-'Historical'!$D$10)*3/5)*(1-'Assumptions'!$B$37)+('Historical'!$D$7*(1+$A19)^3)*'Assumptions'!$B$34*'Assumptions'!$B$37-('Historical'!$D$7*(1+$A19)^3)*'Assumptions'!$F$35-('Historical'!$D$7*(1+$A19)^3)*'Assumptions'!$B$36))/(1+'Assumptions'!$B$23)^3+((('Historical'!$D$7*(1+$A19)^4)*('Historical'!$D$10+(F$15-'Historical'!$D$10)*4/5)*(1-'Assumptions'!$B$37)+('Historical'!$D$7*(1+$A19)^4)*'Assumptions'!$B$34*'Assumptions'!$B$37-('Historical'!$D$7*(1+$A19)^4)*'Assumptions'!$G$35-('Historical'!$D$7*(1+$A19)^4)*'Assumptions'!$B$36))/(1+'Assumptions'!$B$23)^4+((('Historical'!$D$7*(1+$A19)^5)*('Historical'!$D$10+(F$15-'Historical'!$D$10)*5/5)*(1-'Assumptions'!$B$37)+('Historical'!$D$7*(1+$A19)^5)*'Assumptions'!$B$34*'Assumptions'!$B$37-('Historical'!$D$7*(1+$A19)^5)*'Assumptions'!$H$35-('Historical'!$D$7*(1+$A19)^5)*'Assumptions'!$B$36))/(1+'Assumptions'!$B$23)^5)+(((('Historical'!$D$7*(1+$A19)^5)*('Historical'!$D$10+(F$15-'Historical'!$D$10)*5/5)*(1-'Assumptions'!$B$37)+('Historical'!$D$7*(1+$A19)^5)*'Assumptions'!$B$34*'Assumptions'!$B$37-('Historical'!$D$7*(1+$A19)^5)*'Assumptions'!$H$35-('Historical'!$D$7*(1+$A19)^5)*'Assumptions'!$B$36))*(1+'Assumptions'!$B$38)/('Assumptions'!$B$23-'Assumptions'!$B$38)/(1+'Assumptions'!$B$23)^5)-'Assumptions'!$B$10)/'Assumptions'!$B$9</f>
        <v>139.47237806189315</v>
      </c>
    </row>
    <row r="20" spans="1:8">
      <c r="A20" s="7">
        <v>0.08</v>
      </c>
      <c r="B20" s="6">
        <f>((((('Historical'!$D$7*(1+$A20)^1)*('Historical'!$D$10+(B$15-'Historical'!$D$10)*1/5)*(1-'Assumptions'!$B$37)+('Historical'!$D$7*(1+$A20)^1)*'Assumptions'!$B$34*'Assumptions'!$B$37-('Historical'!$D$7*(1+$A20)^1)*'Assumptions'!$D$35-('Historical'!$D$7*(1+$A20)^1)*'Assumptions'!$B$36))/(1+'Assumptions'!$B$23)^1+((('Historical'!$D$7*(1+$A20)^2)*('Historical'!$D$10+(B$15-'Historical'!$D$10)*2/5)*(1-'Assumptions'!$B$37)+('Historical'!$D$7*(1+$A20)^2)*'Assumptions'!$B$34*'Assumptions'!$B$37-('Historical'!$D$7*(1+$A20)^2)*'Assumptions'!$E$35-('Historical'!$D$7*(1+$A20)^2)*'Assumptions'!$B$36))/(1+'Assumptions'!$B$23)^2+((('Historical'!$D$7*(1+$A20)^3)*('Historical'!$D$10+(B$15-'Historical'!$D$10)*3/5)*(1-'Assumptions'!$B$37)+('Historical'!$D$7*(1+$A20)^3)*'Assumptions'!$B$34*'Assumptions'!$B$37-('Historical'!$D$7*(1+$A20)^3)*'Assumptions'!$F$35-('Historical'!$D$7*(1+$A20)^3)*'Assumptions'!$B$36))/(1+'Assumptions'!$B$23)^3+((('Historical'!$D$7*(1+$A20)^4)*('Historical'!$D$10+(B$15-'Historical'!$D$10)*4/5)*(1-'Assumptions'!$B$37)+('Historical'!$D$7*(1+$A20)^4)*'Assumptions'!$B$34*'Assumptions'!$B$37-('Historical'!$D$7*(1+$A20)^4)*'Assumptions'!$G$35-('Historical'!$D$7*(1+$A20)^4)*'Assumptions'!$B$36))/(1+'Assumptions'!$B$23)^4+((('Historical'!$D$7*(1+$A20)^5)*('Historical'!$D$10+(B$15-'Historical'!$D$10)*5/5)*(1-'Assumptions'!$B$37)+('Historical'!$D$7*(1+$A20)^5)*'Assumptions'!$B$34*'Assumptions'!$B$37-('Historical'!$D$7*(1+$A20)^5)*'Assumptions'!$H$35-('Historical'!$D$7*(1+$A20)^5)*'Assumptions'!$B$36))/(1+'Assumptions'!$B$23)^5)+(((('Historical'!$D$7*(1+$A20)^5)*('Historical'!$D$10+(B$15-'Historical'!$D$10)*5/5)*(1-'Assumptions'!$B$37)+('Historical'!$D$7*(1+$A20)^5)*'Assumptions'!$B$34*'Assumptions'!$B$37-('Historical'!$D$7*(1+$A20)^5)*'Assumptions'!$H$35-('Historical'!$D$7*(1+$A20)^5)*'Assumptions'!$B$36))*(1+'Assumptions'!$B$38)/('Assumptions'!$B$23-'Assumptions'!$B$38)/(1+'Assumptions'!$B$23)^5)-'Assumptions'!$B$10)/'Assumptions'!$B$9</f>
        <v>121.58193307754482</v>
      </c>
      <c r="C20" s="6">
        <f>((((('Historical'!$D$7*(1+$A20)^1)*('Historical'!$D$10+(C$15-'Historical'!$D$10)*1/5)*(1-'Assumptions'!$B$37)+('Historical'!$D$7*(1+$A20)^1)*'Assumptions'!$B$34*'Assumptions'!$B$37-('Historical'!$D$7*(1+$A20)^1)*'Assumptions'!$D$35-('Historical'!$D$7*(1+$A20)^1)*'Assumptions'!$B$36))/(1+'Assumptions'!$B$23)^1+((('Historical'!$D$7*(1+$A20)^2)*('Historical'!$D$10+(C$15-'Historical'!$D$10)*2/5)*(1-'Assumptions'!$B$37)+('Historical'!$D$7*(1+$A20)^2)*'Assumptions'!$B$34*'Assumptions'!$B$37-('Historical'!$D$7*(1+$A20)^2)*'Assumptions'!$E$35-('Historical'!$D$7*(1+$A20)^2)*'Assumptions'!$B$36))/(1+'Assumptions'!$B$23)^2+((('Historical'!$D$7*(1+$A20)^3)*('Historical'!$D$10+(C$15-'Historical'!$D$10)*3/5)*(1-'Assumptions'!$B$37)+('Historical'!$D$7*(1+$A20)^3)*'Assumptions'!$B$34*'Assumptions'!$B$37-('Historical'!$D$7*(1+$A20)^3)*'Assumptions'!$F$35-('Historical'!$D$7*(1+$A20)^3)*'Assumptions'!$B$36))/(1+'Assumptions'!$B$23)^3+((('Historical'!$D$7*(1+$A20)^4)*('Historical'!$D$10+(C$15-'Historical'!$D$10)*4/5)*(1-'Assumptions'!$B$37)+('Historical'!$D$7*(1+$A20)^4)*'Assumptions'!$B$34*'Assumptions'!$B$37-('Historical'!$D$7*(1+$A20)^4)*'Assumptions'!$G$35-('Historical'!$D$7*(1+$A20)^4)*'Assumptions'!$B$36))/(1+'Assumptions'!$B$23)^4+((('Historical'!$D$7*(1+$A20)^5)*('Historical'!$D$10+(C$15-'Historical'!$D$10)*5/5)*(1-'Assumptions'!$B$37)+('Historical'!$D$7*(1+$A20)^5)*'Assumptions'!$B$34*'Assumptions'!$B$37-('Historical'!$D$7*(1+$A20)^5)*'Assumptions'!$H$35-('Historical'!$D$7*(1+$A20)^5)*'Assumptions'!$B$36))/(1+'Assumptions'!$B$23)^5)+(((('Historical'!$D$7*(1+$A20)^5)*('Historical'!$D$10+(C$15-'Historical'!$D$10)*5/5)*(1-'Assumptions'!$B$37)+('Historical'!$D$7*(1+$A20)^5)*'Assumptions'!$B$34*'Assumptions'!$B$37-('Historical'!$D$7*(1+$A20)^5)*'Assumptions'!$H$35-('Historical'!$D$7*(1+$A20)^5)*'Assumptions'!$B$36))*(1+'Assumptions'!$B$38)/('Assumptions'!$B$23-'Assumptions'!$B$38)/(1+'Assumptions'!$B$23)^5)-'Assumptions'!$B$10)/'Assumptions'!$B$9</f>
        <v>127.76977137850334</v>
      </c>
      <c r="D20" s="6">
        <f>((((('Historical'!$D$7*(1+$A20)^1)*('Historical'!$D$10+(D$15-'Historical'!$D$10)*1/5)*(1-'Assumptions'!$B$37)+('Historical'!$D$7*(1+$A20)^1)*'Assumptions'!$B$34*'Assumptions'!$B$37-('Historical'!$D$7*(1+$A20)^1)*'Assumptions'!$D$35-('Historical'!$D$7*(1+$A20)^1)*'Assumptions'!$B$36))/(1+'Assumptions'!$B$23)^1+((('Historical'!$D$7*(1+$A20)^2)*('Historical'!$D$10+(D$15-'Historical'!$D$10)*2/5)*(1-'Assumptions'!$B$37)+('Historical'!$D$7*(1+$A20)^2)*'Assumptions'!$B$34*'Assumptions'!$B$37-('Historical'!$D$7*(1+$A20)^2)*'Assumptions'!$E$35-('Historical'!$D$7*(1+$A20)^2)*'Assumptions'!$B$36))/(1+'Assumptions'!$B$23)^2+((('Historical'!$D$7*(1+$A20)^3)*('Historical'!$D$10+(D$15-'Historical'!$D$10)*3/5)*(1-'Assumptions'!$B$37)+('Historical'!$D$7*(1+$A20)^3)*'Assumptions'!$B$34*'Assumptions'!$B$37-('Historical'!$D$7*(1+$A20)^3)*'Assumptions'!$F$35-('Historical'!$D$7*(1+$A20)^3)*'Assumptions'!$B$36))/(1+'Assumptions'!$B$23)^3+((('Historical'!$D$7*(1+$A20)^4)*('Historical'!$D$10+(D$15-'Historical'!$D$10)*4/5)*(1-'Assumptions'!$B$37)+('Historical'!$D$7*(1+$A20)^4)*'Assumptions'!$B$34*'Assumptions'!$B$37-('Historical'!$D$7*(1+$A20)^4)*'Assumptions'!$G$35-('Historical'!$D$7*(1+$A20)^4)*'Assumptions'!$B$36))/(1+'Assumptions'!$B$23)^4+((('Historical'!$D$7*(1+$A20)^5)*('Historical'!$D$10+(D$15-'Historical'!$D$10)*5/5)*(1-'Assumptions'!$B$37)+('Historical'!$D$7*(1+$A20)^5)*'Assumptions'!$B$34*'Assumptions'!$B$37-('Historical'!$D$7*(1+$A20)^5)*'Assumptions'!$H$35-('Historical'!$D$7*(1+$A20)^5)*'Assumptions'!$B$36))/(1+'Assumptions'!$B$23)^5)+(((('Historical'!$D$7*(1+$A20)^5)*('Historical'!$D$10+(D$15-'Historical'!$D$10)*5/5)*(1-'Assumptions'!$B$37)+('Historical'!$D$7*(1+$A20)^5)*'Assumptions'!$B$34*'Assumptions'!$B$37-('Historical'!$D$7*(1+$A20)^5)*'Assumptions'!$H$35-('Historical'!$D$7*(1+$A20)^5)*'Assumptions'!$B$36))*(1+'Assumptions'!$B$38)/('Assumptions'!$B$23-'Assumptions'!$B$38)/(1+'Assumptions'!$B$23)^5)-'Assumptions'!$B$10)/'Assumptions'!$B$9</f>
        <v>133.95760967946194</v>
      </c>
      <c r="E20" s="6">
        <f>((((('Historical'!$D$7*(1+$A20)^1)*('Historical'!$D$10+(E$15-'Historical'!$D$10)*1/5)*(1-'Assumptions'!$B$37)+('Historical'!$D$7*(1+$A20)^1)*'Assumptions'!$B$34*'Assumptions'!$B$37-('Historical'!$D$7*(1+$A20)^1)*'Assumptions'!$D$35-('Historical'!$D$7*(1+$A20)^1)*'Assumptions'!$B$36))/(1+'Assumptions'!$B$23)^1+((('Historical'!$D$7*(1+$A20)^2)*('Historical'!$D$10+(E$15-'Historical'!$D$10)*2/5)*(1-'Assumptions'!$B$37)+('Historical'!$D$7*(1+$A20)^2)*'Assumptions'!$B$34*'Assumptions'!$B$37-('Historical'!$D$7*(1+$A20)^2)*'Assumptions'!$E$35-('Historical'!$D$7*(1+$A20)^2)*'Assumptions'!$B$36))/(1+'Assumptions'!$B$23)^2+((('Historical'!$D$7*(1+$A20)^3)*('Historical'!$D$10+(E$15-'Historical'!$D$10)*3/5)*(1-'Assumptions'!$B$37)+('Historical'!$D$7*(1+$A20)^3)*'Assumptions'!$B$34*'Assumptions'!$B$37-('Historical'!$D$7*(1+$A20)^3)*'Assumptions'!$F$35-('Historical'!$D$7*(1+$A20)^3)*'Assumptions'!$B$36))/(1+'Assumptions'!$B$23)^3+((('Historical'!$D$7*(1+$A20)^4)*('Historical'!$D$10+(E$15-'Historical'!$D$10)*4/5)*(1-'Assumptions'!$B$37)+('Historical'!$D$7*(1+$A20)^4)*'Assumptions'!$B$34*'Assumptions'!$B$37-('Historical'!$D$7*(1+$A20)^4)*'Assumptions'!$G$35-('Historical'!$D$7*(1+$A20)^4)*'Assumptions'!$B$36))/(1+'Assumptions'!$B$23)^4+((('Historical'!$D$7*(1+$A20)^5)*('Historical'!$D$10+(E$15-'Historical'!$D$10)*5/5)*(1-'Assumptions'!$B$37)+('Historical'!$D$7*(1+$A20)^5)*'Assumptions'!$B$34*'Assumptions'!$B$37-('Historical'!$D$7*(1+$A20)^5)*'Assumptions'!$H$35-('Historical'!$D$7*(1+$A20)^5)*'Assumptions'!$B$36))/(1+'Assumptions'!$B$23)^5)+(((('Historical'!$D$7*(1+$A20)^5)*('Historical'!$D$10+(E$15-'Historical'!$D$10)*5/5)*(1-'Assumptions'!$B$37)+('Historical'!$D$7*(1+$A20)^5)*'Assumptions'!$B$34*'Assumptions'!$B$37-('Historical'!$D$7*(1+$A20)^5)*'Assumptions'!$H$35-('Historical'!$D$7*(1+$A20)^5)*'Assumptions'!$B$36))*(1+'Assumptions'!$B$38)/('Assumptions'!$B$23-'Assumptions'!$B$38)/(1+'Assumptions'!$B$23)^5)-'Assumptions'!$B$10)/'Assumptions'!$B$9</f>
        <v>140.14544798042056</v>
      </c>
      <c r="F20" s="6">
        <f>((((('Historical'!$D$7*(1+$A20)^1)*('Historical'!$D$10+(F$15-'Historical'!$D$10)*1/5)*(1-'Assumptions'!$B$37)+('Historical'!$D$7*(1+$A20)^1)*'Assumptions'!$B$34*'Assumptions'!$B$37-('Historical'!$D$7*(1+$A20)^1)*'Assumptions'!$D$35-('Historical'!$D$7*(1+$A20)^1)*'Assumptions'!$B$36))/(1+'Assumptions'!$B$23)^1+((('Historical'!$D$7*(1+$A20)^2)*('Historical'!$D$10+(F$15-'Historical'!$D$10)*2/5)*(1-'Assumptions'!$B$37)+('Historical'!$D$7*(1+$A20)^2)*'Assumptions'!$B$34*'Assumptions'!$B$37-('Historical'!$D$7*(1+$A20)^2)*'Assumptions'!$E$35-('Historical'!$D$7*(1+$A20)^2)*'Assumptions'!$B$36))/(1+'Assumptions'!$B$23)^2+((('Historical'!$D$7*(1+$A20)^3)*('Historical'!$D$10+(F$15-'Historical'!$D$10)*3/5)*(1-'Assumptions'!$B$37)+('Historical'!$D$7*(1+$A20)^3)*'Assumptions'!$B$34*'Assumptions'!$B$37-('Historical'!$D$7*(1+$A20)^3)*'Assumptions'!$F$35-('Historical'!$D$7*(1+$A20)^3)*'Assumptions'!$B$36))/(1+'Assumptions'!$B$23)^3+((('Historical'!$D$7*(1+$A20)^4)*('Historical'!$D$10+(F$15-'Historical'!$D$10)*4/5)*(1-'Assumptions'!$B$37)+('Historical'!$D$7*(1+$A20)^4)*'Assumptions'!$B$34*'Assumptions'!$B$37-('Historical'!$D$7*(1+$A20)^4)*'Assumptions'!$G$35-('Historical'!$D$7*(1+$A20)^4)*'Assumptions'!$B$36))/(1+'Assumptions'!$B$23)^4+((('Historical'!$D$7*(1+$A20)^5)*('Historical'!$D$10+(F$15-'Historical'!$D$10)*5/5)*(1-'Assumptions'!$B$37)+('Historical'!$D$7*(1+$A20)^5)*'Assumptions'!$B$34*'Assumptions'!$B$37-('Historical'!$D$7*(1+$A20)^5)*'Assumptions'!$H$35-('Historical'!$D$7*(1+$A20)^5)*'Assumptions'!$B$36))/(1+'Assumptions'!$B$23)^5)+(((('Historical'!$D$7*(1+$A20)^5)*('Historical'!$D$10+(F$15-'Historical'!$D$10)*5/5)*(1-'Assumptions'!$B$37)+('Historical'!$D$7*(1+$A20)^5)*'Assumptions'!$B$34*'Assumptions'!$B$37-('Historical'!$D$7*(1+$A20)^5)*'Assumptions'!$H$35-('Historical'!$D$7*(1+$A20)^5)*'Assumptions'!$B$36))*(1+'Assumptions'!$B$38)/('Assumptions'!$B$23-'Assumptions'!$B$38)/(1+'Assumptions'!$B$23)^5)-'Assumptions'!$B$10)/'Assumptions'!$B$9</f>
        <v>146.33328628137912</v>
      </c>
    </row>
    <row r="23" spans="1:8" ht="20" customHeight="1">
      <c r="A23" s="3" t="s">
        <v>202</v>
      </c>
      <c r="B23" s="3"/>
      <c r="C23" s="3"/>
      <c r="D23" s="3"/>
      <c r="E23" s="3"/>
      <c r="F23" s="3"/>
      <c r="G23" s="3"/>
      <c r="H23" s="3"/>
    </row>
    <row r="24" spans="1:8">
      <c r="A24" s="4" t="s">
        <v>203</v>
      </c>
      <c r="B24" s="4" t="s">
        <v>204</v>
      </c>
      <c r="C24" s="4" t="s">
        <v>205</v>
      </c>
      <c r="D24" s="4" t="s">
        <v>206</v>
      </c>
    </row>
    <row r="25" spans="1:8">
      <c r="A25" s="5" t="s">
        <v>207</v>
      </c>
      <c r="B25" s="6">
        <f>D18</f>
        <v>121.54404516996435</v>
      </c>
      <c r="C25" s="6">
        <f>((((('Historical'!$D$7*(1+$A$18)^1)*('Historical'!$D$10+(D$15-'Historical'!$D$10)*1/5)*(1-'Assumptions'!$B$37)+('Historical'!$D$7*(1+$A$18)^1)*'Assumptions'!$B$34*'Assumptions'!$B$37-('Historical'!$D$7*(1+$A$18)^1)*'Assumptions'!$D$35-('Historical'!$D$7*(1+$A$18)^1)*'Assumptions'!$B$36))/(1+'Assumptions'!$B$23)^1+((('Historical'!$D$7*(1+$A$18)^2)*('Historical'!$D$10+(D$15-'Historical'!$D$10)*2/5)*(1-'Assumptions'!$B$37)+('Historical'!$D$7*(1+$A$18)^2)*'Assumptions'!$B$34*'Assumptions'!$B$37-('Historical'!$D$7*(1+$A$18)^2)*'Assumptions'!$E$35-('Historical'!$D$7*(1+$A$18)^2)*'Assumptions'!$B$36))/(1+'Assumptions'!$B$23)^2+((('Historical'!$D$7*(1+$A$18)^3)*('Historical'!$D$10+(D$15-'Historical'!$D$10)*3/5)*(1-'Assumptions'!$B$37)+('Historical'!$D$7*(1+$A$18)^3)*'Assumptions'!$B$34*'Assumptions'!$B$37-('Historical'!$D$7*(1+$A$18)^3)*'Assumptions'!$F$35-('Historical'!$D$7*(1+$A$18)^3)*'Assumptions'!$B$36))/(1+'Assumptions'!$B$23)^3+((('Historical'!$D$7*(1+$A$18)^4)*('Historical'!$D$10+(D$15-'Historical'!$D$10)*4/5)*(1-'Assumptions'!$B$37)+('Historical'!$D$7*(1+$A$18)^4)*'Assumptions'!$B$34*'Assumptions'!$B$37-('Historical'!$D$7*(1+$A$18)^4)*'Assumptions'!$G$35-('Historical'!$D$7*(1+$A$18)^4)*'Assumptions'!$B$36))/(1+'Assumptions'!$B$23)^4+((('Historical'!$D$7*(1+$A$18)^5)*('Historical'!$D$10+(D$15-'Historical'!$D$10)*5/5)*(1-'Assumptions'!$B$37)+('Historical'!$D$7*(1+$A$18)^5)*'Assumptions'!$B$34*'Assumptions'!$B$37-('Historical'!$D$7*(1+$A$18)^5)*'Assumptions'!$H$35-('Historical'!$D$7*(1+$A$18)^5)*'Assumptions'!$B$36))/(1+'Assumptions'!$B$23)^5)+(((('Historical'!$D$7*(1+$A$18)^5)*('Historical'!$D$10+(D$15-'Historical'!$D$10)*5/5)*(1-'Assumptions'!$B$37)+('Historical'!$D$7*(1+$A$18)^5)*'Assumptions'!$B$34*'Assumptions'!$B$37-('Historical'!$D$7*(1+$A$18)^5)*'Assumptions'!$H$35-('Historical'!$D$7*(1+$A$18)^5)*'Assumptions'!$B$36))*(1+'Assumptions'!$B$38)/('Assumptions'!$B$23-'Assumptions'!$B$38)/(1+'Assumptions'!$B$23)^5)-'Assumptions'!$B$10)/'Assumptions'!$B$9</f>
        <v>121.54404516996435</v>
      </c>
      <c r="D25" s="6">
        <f>B25-C25</f>
        <v>0</v>
      </c>
    </row>
  </sheetData>
  <mergeCells count="5">
    <mergeCell ref="A1:H1"/>
    <mergeCell ref="A3:H3"/>
    <mergeCell ref="A5:H5"/>
    <mergeCell ref="A14:H14"/>
    <mergeCell ref="A23:H23"/>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H12"/>
  <sheetViews>
    <sheetView showGridLines="0" workbookViewId="0">
      <pane ySplit="4" topLeftCell="A5" activePane="bottomLeft" state="frozen"/>
      <selection pane="bottomLeft"/>
    </sheetView>
  </sheetViews>
  <sheetFormatPr defaultRowHeight="15"/>
  <cols>
    <col min="1" max="1" width="22.7109375" customWidth="1"/>
    <col min="2" max="4" width="28.7109375" customWidth="1"/>
    <col min="5" max="6" width="15.7109375" customWidth="1"/>
    <col min="7" max="8" width="25.7109375" customWidth="1"/>
  </cols>
  <sheetData>
    <row r="1" spans="1:8" ht="28" customHeight="1">
      <c r="A1" s="1" t="s">
        <v>208</v>
      </c>
      <c r="B1" s="1"/>
      <c r="C1" s="1"/>
      <c r="D1" s="1"/>
      <c r="E1" s="1"/>
      <c r="F1" s="1"/>
      <c r="G1" s="1"/>
      <c r="H1" s="1"/>
    </row>
    <row r="3" spans="1:8">
      <c r="A3" s="2" t="s">
        <v>209</v>
      </c>
      <c r="B3" s="2"/>
      <c r="C3" s="2"/>
      <c r="D3" s="2"/>
      <c r="E3" s="2"/>
      <c r="F3" s="2"/>
      <c r="G3" s="2"/>
      <c r="H3" s="2"/>
    </row>
    <row r="5" spans="1:8" ht="20" customHeight="1">
      <c r="A5" s="3" t="s">
        <v>210</v>
      </c>
      <c r="B5" s="3"/>
      <c r="C5" s="3"/>
      <c r="D5" s="3"/>
      <c r="E5" s="3"/>
      <c r="F5" s="3"/>
      <c r="G5" s="3"/>
      <c r="H5" s="3"/>
    </row>
    <row r="6" spans="1:8">
      <c r="A6" s="4" t="s">
        <v>211</v>
      </c>
      <c r="B6" s="4" t="s">
        <v>212</v>
      </c>
      <c r="C6" s="4" t="s">
        <v>213</v>
      </c>
      <c r="D6" s="4" t="s">
        <v>214</v>
      </c>
      <c r="E6" s="4" t="s">
        <v>98</v>
      </c>
      <c r="F6" s="4" t="s">
        <v>251</v>
      </c>
      <c r="G6" s="4" t="s">
        <v>216</v>
      </c>
      <c r="H6" s="4" t="s">
        <v>217</v>
      </c>
    </row>
    <row r="7" spans="1:8">
      <c r="A7" s="9" t="s">
        <v>218</v>
      </c>
      <c r="B7" s="9" t="s">
        <v>219</v>
      </c>
      <c r="C7" s="9" t="s">
        <v>253</v>
      </c>
      <c r="D7" s="9" t="s">
        <v>221</v>
      </c>
      <c r="E7" s="9" t="s">
        <v>105</v>
      </c>
      <c r="F7" s="9" t="s">
        <v>252</v>
      </c>
      <c r="G7" s="9" t="s">
        <v>223</v>
      </c>
      <c r="H7" s="9" t="s">
        <v>224</v>
      </c>
    </row>
    <row r="8" spans="1:8">
      <c r="A8" s="9" t="s">
        <v>225</v>
      </c>
      <c r="B8" s="9" t="s">
        <v>226</v>
      </c>
      <c r="C8" s="9" t="s">
        <v>227</v>
      </c>
      <c r="D8" s="9" t="s">
        <v>228</v>
      </c>
      <c r="E8" s="9" t="s">
        <v>105</v>
      </c>
      <c r="F8" s="9" t="s">
        <v>252</v>
      </c>
      <c r="G8" s="9" t="s">
        <v>229</v>
      </c>
      <c r="H8" s="9" t="s">
        <v>230</v>
      </c>
    </row>
    <row r="9" spans="1:8">
      <c r="A9" s="9" t="s">
        <v>231</v>
      </c>
      <c r="B9" s="9" t="s">
        <v>232</v>
      </c>
      <c r="C9" s="9" t="s">
        <v>253</v>
      </c>
      <c r="D9" s="9" t="s">
        <v>234</v>
      </c>
      <c r="E9" s="9" t="s">
        <v>105</v>
      </c>
      <c r="F9" s="9" t="s">
        <v>252</v>
      </c>
      <c r="G9" s="9" t="s">
        <v>235</v>
      </c>
      <c r="H9" s="9" t="s">
        <v>236</v>
      </c>
    </row>
    <row r="10" spans="1:8">
      <c r="A10" s="9" t="s">
        <v>237</v>
      </c>
      <c r="B10" s="9" t="s">
        <v>118</v>
      </c>
      <c r="C10" s="9" t="s">
        <v>253</v>
      </c>
      <c r="D10" s="9" t="s">
        <v>238</v>
      </c>
      <c r="E10" s="9" t="s">
        <v>105</v>
      </c>
      <c r="F10" s="9" t="s">
        <v>252</v>
      </c>
      <c r="G10" s="9" t="s">
        <v>239</v>
      </c>
      <c r="H10" s="9" t="s">
        <v>240</v>
      </c>
    </row>
    <row r="11" spans="1:8">
      <c r="A11" s="9" t="s">
        <v>241</v>
      </c>
      <c r="B11" s="9" t="s">
        <v>242</v>
      </c>
      <c r="C11" s="9" t="s">
        <v>243</v>
      </c>
      <c r="D11" s="9" t="s">
        <v>244</v>
      </c>
      <c r="E11" s="9" t="s">
        <v>124</v>
      </c>
      <c r="F11" s="9" t="s">
        <v>252</v>
      </c>
      <c r="G11" s="9" t="s">
        <v>245</v>
      </c>
      <c r="H11" s="9" t="s">
        <v>246</v>
      </c>
    </row>
    <row r="12" spans="1:8">
      <c r="A12" s="9" t="s">
        <v>247</v>
      </c>
      <c r="B12" s="9" t="s">
        <v>122</v>
      </c>
      <c r="C12" s="9" t="s">
        <v>227</v>
      </c>
      <c r="D12" s="9" t="s">
        <v>248</v>
      </c>
      <c r="E12" s="9" t="s">
        <v>124</v>
      </c>
      <c r="F12" s="9" t="s">
        <v>252</v>
      </c>
      <c r="G12" s="9" t="s">
        <v>249</v>
      </c>
      <c r="H12" s="9" t="s">
        <v>250</v>
      </c>
    </row>
  </sheetData>
  <mergeCells count="3">
    <mergeCell ref="A1:H1"/>
    <mergeCell ref="A3:H3"/>
    <mergeCell ref="A5:H5"/>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H44"/>
  <sheetViews>
    <sheetView showGridLines="0" workbookViewId="0">
      <pane ySplit="4" topLeftCell="A5" activePane="bottomLeft" state="frozen"/>
      <selection pane="bottomLeft"/>
    </sheetView>
  </sheetViews>
  <sheetFormatPr defaultRowHeight="15"/>
  <cols>
    <col min="1" max="1" width="24.7109375" customWidth="1"/>
    <col min="2" max="2" width="20.7109375" customWidth="1"/>
    <col min="3" max="3" width="22.7109375" customWidth="1"/>
    <col min="4" max="5" width="46.7109375" customWidth="1"/>
    <col min="6" max="8" width="14.7109375" customWidth="1"/>
  </cols>
  <sheetData>
    <row r="1" spans="1:8" ht="28" customHeight="1">
      <c r="A1" s="1" t="s">
        <v>254</v>
      </c>
      <c r="B1" s="1"/>
      <c r="C1" s="1"/>
      <c r="D1" s="1"/>
      <c r="E1" s="1"/>
      <c r="F1" s="1"/>
      <c r="G1" s="1"/>
      <c r="H1" s="1"/>
    </row>
    <row r="3" spans="1:8">
      <c r="A3" s="2" t="s">
        <v>255</v>
      </c>
      <c r="B3" s="2"/>
      <c r="C3" s="2"/>
      <c r="D3" s="2"/>
      <c r="E3" s="2"/>
      <c r="F3" s="2"/>
      <c r="G3" s="2"/>
      <c r="H3" s="2"/>
    </row>
    <row r="5" spans="1:8" ht="20" customHeight="1">
      <c r="A5" s="3" t="s">
        <v>256</v>
      </c>
      <c r="B5" s="3"/>
      <c r="C5" s="3"/>
      <c r="D5" s="3"/>
      <c r="E5" s="3"/>
      <c r="F5" s="3"/>
      <c r="G5" s="3"/>
      <c r="H5" s="3"/>
    </row>
    <row r="6" spans="1:8">
      <c r="A6" s="4" t="s">
        <v>257</v>
      </c>
      <c r="B6" s="4" t="s">
        <v>258</v>
      </c>
      <c r="C6" s="4" t="s">
        <v>259</v>
      </c>
      <c r="D6" s="4" t="s">
        <v>260</v>
      </c>
    </row>
    <row r="7" spans="1:8" ht="50" customHeight="1">
      <c r="A7" s="9" t="s">
        <v>261</v>
      </c>
      <c r="B7" s="9" t="s">
        <v>262</v>
      </c>
      <c r="C7" s="9" t="s">
        <v>263</v>
      </c>
      <c r="D7" s="9" t="s">
        <v>264</v>
      </c>
    </row>
    <row r="8" spans="1:8" ht="50" customHeight="1">
      <c r="A8" s="9" t="s">
        <v>265</v>
      </c>
      <c r="B8" s="9" t="s">
        <v>266</v>
      </c>
      <c r="C8" s="9" t="s">
        <v>267</v>
      </c>
      <c r="D8" s="9" t="s">
        <v>268</v>
      </c>
    </row>
    <row r="9" spans="1:8" ht="50" customHeight="1">
      <c r="A9" s="9" t="s">
        <v>269</v>
      </c>
      <c r="B9" s="9" t="s">
        <v>270</v>
      </c>
      <c r="C9" s="9" t="s">
        <v>271</v>
      </c>
      <c r="D9" s="9" t="s">
        <v>272</v>
      </c>
    </row>
    <row r="10" spans="1:8" ht="50" customHeight="1">
      <c r="A10" s="9" t="s">
        <v>273</v>
      </c>
      <c r="B10" s="9" t="s">
        <v>274</v>
      </c>
      <c r="C10" s="9" t="s">
        <v>275</v>
      </c>
      <c r="D10" s="9" t="s">
        <v>276</v>
      </c>
    </row>
    <row r="11" spans="1:8" ht="50" customHeight="1">
      <c r="A11" s="9" t="s">
        <v>277</v>
      </c>
      <c r="B11" s="9" t="s">
        <v>278</v>
      </c>
      <c r="C11" s="9" t="s">
        <v>279</v>
      </c>
      <c r="D11" s="9" t="s">
        <v>280</v>
      </c>
    </row>
    <row r="12" spans="1:8" ht="50" customHeight="1">
      <c r="A12" s="9" t="s">
        <v>281</v>
      </c>
      <c r="B12" s="9" t="s">
        <v>282</v>
      </c>
      <c r="C12" s="9" t="s">
        <v>283</v>
      </c>
      <c r="D12" s="9" t="s">
        <v>284</v>
      </c>
    </row>
    <row r="13" spans="1:8" ht="50" customHeight="1">
      <c r="A13" s="9" t="s">
        <v>285</v>
      </c>
      <c r="B13" s="9" t="s">
        <v>286</v>
      </c>
      <c r="C13" s="9" t="s">
        <v>287</v>
      </c>
      <c r="D13" s="9" t="s">
        <v>288</v>
      </c>
    </row>
    <row r="14" spans="1:8" ht="50" customHeight="1">
      <c r="A14" s="9" t="s">
        <v>289</v>
      </c>
      <c r="B14" s="9" t="s">
        <v>290</v>
      </c>
      <c r="C14" s="9" t="s">
        <v>291</v>
      </c>
      <c r="D14" s="9" t="s">
        <v>292</v>
      </c>
    </row>
    <row r="16" spans="1:8" ht="20" customHeight="1">
      <c r="A16" s="3" t="s">
        <v>293</v>
      </c>
      <c r="B16" s="3"/>
      <c r="C16" s="3"/>
      <c r="D16" s="3"/>
      <c r="E16" s="3"/>
      <c r="F16" s="3"/>
      <c r="G16" s="3"/>
      <c r="H16" s="3"/>
    </row>
    <row r="17" spans="1:8">
      <c r="A17" s="4" t="s">
        <v>294</v>
      </c>
      <c r="B17" s="4" t="s">
        <v>19</v>
      </c>
      <c r="C17" s="4" t="s">
        <v>295</v>
      </c>
      <c r="D17" s="4" t="s">
        <v>296</v>
      </c>
      <c r="E17" s="4" t="s">
        <v>297</v>
      </c>
    </row>
    <row r="18" spans="1:8" ht="38" customHeight="1">
      <c r="A18" s="5" t="s">
        <v>298</v>
      </c>
      <c r="B18" s="12">
        <v>0.9</v>
      </c>
      <c r="C18" s="9" t="s">
        <v>299</v>
      </c>
      <c r="D18" s="9" t="s">
        <v>300</v>
      </c>
      <c r="E18" s="9" t="s">
        <v>301</v>
      </c>
    </row>
    <row r="19" spans="1:8" ht="38" customHeight="1">
      <c r="A19" s="5" t="s">
        <v>27</v>
      </c>
      <c r="B19" s="7">
        <v>0.045</v>
      </c>
      <c r="C19" s="9" t="s">
        <v>302</v>
      </c>
      <c r="D19" s="9" t="s">
        <v>303</v>
      </c>
      <c r="E19" s="9" t="s">
        <v>304</v>
      </c>
    </row>
    <row r="20" spans="1:8" ht="38" customHeight="1">
      <c r="A20" s="5" t="s">
        <v>305</v>
      </c>
      <c r="B20" s="7">
        <v>0.045</v>
      </c>
      <c r="C20" s="9" t="s">
        <v>302</v>
      </c>
      <c r="D20" s="9" t="s">
        <v>306</v>
      </c>
      <c r="E20" s="9" t="s">
        <v>307</v>
      </c>
    </row>
    <row r="21" spans="1:8" ht="38" customHeight="1">
      <c r="A21" s="5" t="s">
        <v>33</v>
      </c>
      <c r="B21" s="7">
        <v>0.045</v>
      </c>
      <c r="C21" s="9" t="s">
        <v>299</v>
      </c>
      <c r="D21" s="9" t="s">
        <v>308</v>
      </c>
      <c r="E21" s="9" t="s">
        <v>309</v>
      </c>
    </row>
    <row r="22" spans="1:8" ht="38" customHeight="1">
      <c r="A22" s="5" t="s">
        <v>310</v>
      </c>
      <c r="B22" s="7">
        <v>0.015</v>
      </c>
      <c r="C22" s="9" t="s">
        <v>311</v>
      </c>
      <c r="D22" s="9" t="s">
        <v>312</v>
      </c>
      <c r="E22" s="9" t="s">
        <v>313</v>
      </c>
    </row>
    <row r="23" spans="1:8" ht="38" customHeight="1">
      <c r="A23" s="5" t="s">
        <v>314</v>
      </c>
      <c r="B23" s="7">
        <v>0.095</v>
      </c>
      <c r="C23" s="9" t="s">
        <v>315</v>
      </c>
      <c r="D23" s="9" t="s">
        <v>316</v>
      </c>
      <c r="E23" s="9" t="s">
        <v>317</v>
      </c>
    </row>
    <row r="24" spans="1:8" ht="66" customHeight="1">
      <c r="A24" s="5" t="s">
        <v>47</v>
      </c>
      <c r="B24" s="7">
        <v>0.54</v>
      </c>
      <c r="C24" s="9" t="s">
        <v>318</v>
      </c>
      <c r="D24" s="9" t="s">
        <v>319</v>
      </c>
      <c r="E24" s="9" t="s">
        <v>320</v>
      </c>
    </row>
    <row r="25" spans="1:8" ht="38" customHeight="1">
      <c r="A25" s="5" t="s">
        <v>48</v>
      </c>
      <c r="B25" s="7">
        <v>0.025</v>
      </c>
      <c r="C25" s="9" t="s">
        <v>299</v>
      </c>
      <c r="D25" s="9" t="s">
        <v>321</v>
      </c>
      <c r="E25" s="9" t="s">
        <v>322</v>
      </c>
    </row>
    <row r="28" spans="1:8" ht="20" customHeight="1">
      <c r="A28" s="3" t="s">
        <v>323</v>
      </c>
      <c r="B28" s="3"/>
      <c r="C28" s="3"/>
      <c r="D28" s="3"/>
      <c r="E28" s="3"/>
      <c r="F28" s="3"/>
      <c r="G28" s="3"/>
      <c r="H28" s="3"/>
    </row>
    <row r="29" spans="1:8">
      <c r="A29" s="9" t="s">
        <v>324</v>
      </c>
      <c r="B29" s="9"/>
      <c r="C29" s="9"/>
      <c r="D29" s="9"/>
      <c r="E29" s="9"/>
      <c r="F29" s="9"/>
      <c r="G29" s="9"/>
      <c r="H29" s="9"/>
    </row>
    <row r="30" spans="1:8">
      <c r="A30" s="9"/>
      <c r="B30" s="9"/>
      <c r="C30" s="9"/>
      <c r="D30" s="9"/>
      <c r="E30" s="9"/>
      <c r="F30" s="9"/>
      <c r="G30" s="9"/>
      <c r="H30" s="9"/>
    </row>
    <row r="31" spans="1:8">
      <c r="A31" s="9"/>
      <c r="B31" s="9"/>
      <c r="C31" s="9"/>
      <c r="D31" s="9"/>
      <c r="E31" s="9"/>
      <c r="F31" s="9"/>
      <c r="G31" s="9"/>
      <c r="H31" s="9"/>
    </row>
    <row r="32" spans="1:8">
      <c r="A32" s="9"/>
      <c r="B32" s="9"/>
      <c r="C32" s="9"/>
      <c r="D32" s="9"/>
      <c r="E32" s="9"/>
      <c r="F32" s="9"/>
      <c r="G32" s="9"/>
      <c r="H32" s="9"/>
    </row>
    <row r="33" spans="1:8">
      <c r="A33" s="9"/>
      <c r="B33" s="9"/>
      <c r="C33" s="9"/>
      <c r="D33" s="9"/>
      <c r="E33" s="9"/>
      <c r="F33" s="9"/>
      <c r="G33" s="9"/>
      <c r="H33" s="9"/>
    </row>
    <row r="35" spans="1:8" ht="20" customHeight="1">
      <c r="A35" s="3" t="s">
        <v>325</v>
      </c>
      <c r="B35" s="3"/>
      <c r="C35" s="3"/>
      <c r="D35" s="3"/>
      <c r="E35" s="3"/>
      <c r="F35" s="3"/>
      <c r="G35" s="3"/>
      <c r="H35" s="3"/>
    </row>
    <row r="36" spans="1:8">
      <c r="A36" s="9" t="s">
        <v>326</v>
      </c>
      <c r="B36" s="9"/>
      <c r="C36" s="9"/>
      <c r="D36" s="9"/>
      <c r="E36" s="9"/>
      <c r="F36" s="9"/>
      <c r="G36" s="9"/>
      <c r="H36" s="9"/>
    </row>
    <row r="37" spans="1:8">
      <c r="A37" s="9"/>
      <c r="B37" s="9"/>
      <c r="C37" s="9"/>
      <c r="D37" s="9"/>
      <c r="E37" s="9"/>
      <c r="F37" s="9"/>
      <c r="G37" s="9"/>
      <c r="H37" s="9"/>
    </row>
    <row r="38" spans="1:8">
      <c r="A38" s="9"/>
      <c r="B38" s="9"/>
      <c r="C38" s="9"/>
      <c r="D38" s="9"/>
      <c r="E38" s="9"/>
      <c r="F38" s="9"/>
      <c r="G38" s="9"/>
      <c r="H38" s="9"/>
    </row>
    <row r="39" spans="1:8">
      <c r="A39" s="9"/>
      <c r="B39" s="9"/>
      <c r="C39" s="9"/>
      <c r="D39" s="9"/>
      <c r="E39" s="9"/>
      <c r="F39" s="9"/>
      <c r="G39" s="9"/>
      <c r="H39" s="9"/>
    </row>
    <row r="41" spans="1:8">
      <c r="A41" s="9" t="s">
        <v>327</v>
      </c>
      <c r="B41" s="9"/>
      <c r="C41" s="9"/>
      <c r="D41" s="9"/>
      <c r="E41" s="9"/>
      <c r="F41" s="9"/>
      <c r="G41" s="9"/>
      <c r="H41" s="9"/>
    </row>
    <row r="42" spans="1:8">
      <c r="A42" s="9"/>
      <c r="B42" s="9"/>
      <c r="C42" s="9"/>
      <c r="D42" s="9"/>
      <c r="E42" s="9"/>
      <c r="F42" s="9"/>
      <c r="G42" s="9"/>
      <c r="H42" s="9"/>
    </row>
    <row r="43" spans="1:8">
      <c r="A43" s="9"/>
      <c r="B43" s="9"/>
      <c r="C43" s="9"/>
      <c r="D43" s="9"/>
      <c r="E43" s="9"/>
      <c r="F43" s="9"/>
      <c r="G43" s="9"/>
      <c r="H43" s="9"/>
    </row>
    <row r="44" spans="1:8">
      <c r="A44" s="9"/>
      <c r="B44" s="9"/>
      <c r="C44" s="9"/>
      <c r="D44" s="9"/>
      <c r="E44" s="9"/>
      <c r="F44" s="9"/>
      <c r="G44" s="9"/>
      <c r="H44" s="9"/>
    </row>
  </sheetData>
  <mergeCells count="9">
    <mergeCell ref="A1:H1"/>
    <mergeCell ref="A3:H3"/>
    <mergeCell ref="A5:H5"/>
    <mergeCell ref="A16:H16"/>
    <mergeCell ref="A28:H28"/>
    <mergeCell ref="A29:H33"/>
    <mergeCell ref="A35:H35"/>
    <mergeCell ref="A36:H39"/>
    <mergeCell ref="A41:H44"/>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G25"/>
  <sheetViews>
    <sheetView showGridLines="0" workbookViewId="0">
      <pane ySplit="4" topLeftCell="A5" activePane="bottomLeft" state="frozen"/>
      <selection pane="bottomLeft"/>
    </sheetView>
  </sheetViews>
  <sheetFormatPr defaultRowHeight="15"/>
  <cols>
    <col min="1" max="1" width="30.7109375" customWidth="1"/>
    <col min="2" max="6" width="16.7109375" customWidth="1"/>
    <col min="7" max="7" width="35.7109375" customWidth="1"/>
  </cols>
  <sheetData>
    <row r="1" spans="1:7" ht="28" customHeight="1">
      <c r="A1" s="1" t="s">
        <v>328</v>
      </c>
      <c r="B1" s="1"/>
      <c r="C1" s="1"/>
      <c r="D1" s="1"/>
      <c r="E1" s="1"/>
      <c r="F1" s="1"/>
      <c r="G1" s="1"/>
    </row>
    <row r="3" spans="1:7">
      <c r="A3" s="18" t="str">
        <f>"MODEL STATUS: "&amp;IF(COUNTIF(F7:F20,"FAIL")=0,"PASS","FAIL")</f>
        <v>MODEL STATUS: PASS</v>
      </c>
      <c r="B3" s="18"/>
      <c r="C3" s="18"/>
      <c r="D3" s="18"/>
      <c r="E3" s="18"/>
      <c r="F3" s="18"/>
      <c r="G3" s="18"/>
    </row>
    <row r="5" spans="1:7" ht="20" customHeight="1">
      <c r="A5" s="3" t="s">
        <v>329</v>
      </c>
      <c r="B5" s="3"/>
      <c r="C5" s="3"/>
      <c r="D5" s="3"/>
      <c r="E5" s="3"/>
      <c r="F5" s="3"/>
      <c r="G5" s="3"/>
    </row>
    <row r="6" spans="1:7">
      <c r="A6" s="4" t="s">
        <v>330</v>
      </c>
      <c r="B6" s="4" t="s">
        <v>331</v>
      </c>
      <c r="C6" s="4" t="s">
        <v>332</v>
      </c>
      <c r="D6" s="4" t="s">
        <v>206</v>
      </c>
      <c r="E6" s="4" t="s">
        <v>333</v>
      </c>
      <c r="F6" s="4" t="s">
        <v>295</v>
      </c>
      <c r="G6" s="4" t="s">
        <v>334</v>
      </c>
    </row>
    <row r="7" spans="1:7">
      <c r="A7" s="5" t="s">
        <v>335</v>
      </c>
      <c r="B7" s="5">
        <f>'DCF'!G18</f>
        <v>4131.753496955916</v>
      </c>
      <c r="C7" s="5">
        <f>SUM('DCF'!G14:G17)</f>
        <v>4131.753496955916</v>
      </c>
      <c r="D7" s="5">
        <f>B7-C7</f>
        <v>0.0</v>
      </c>
      <c r="E7" s="5">
        <v>1</v>
      </c>
      <c r="F7" s="5" t="str">
        <f>IF(ABS(D7)&lt;=E7,"OK","FAIL")</f>
        <v>OK</v>
      </c>
      <c r="G7" s="5" t="s">
        <v>336</v>
      </c>
    </row>
    <row r="8" spans="1:7">
      <c r="A8" s="5" t="s">
        <v>337</v>
      </c>
      <c r="B8" s="5">
        <f>'DCF'!B34</f>
        <v>62115.08514314247</v>
      </c>
      <c r="C8" s="5">
        <f>SUM('DCF'!B32:B33)</f>
        <v>62115.08514314247</v>
      </c>
      <c r="D8" s="5">
        <f>B8-C8</f>
        <v>0.0</v>
      </c>
      <c r="E8" s="5">
        <v>1</v>
      </c>
      <c r="F8" s="5" t="str">
        <f>IF(ABS(D8)&lt;=E8,"OK","FAIL")</f>
        <v>OK</v>
      </c>
      <c r="G8" s="5" t="s">
        <v>338</v>
      </c>
    </row>
    <row r="9" spans="1:7">
      <c r="A9" s="5" t="s">
        <v>339</v>
      </c>
      <c r="B9" s="5">
        <f>'Assumptions'!B23</f>
        <v>0.07694587112846599</v>
      </c>
      <c r="C9" s="5">
        <f>'Assumptions'!B20*'Assumptions'!B21+'Assumptions'!B19*'Assumptions'!B22</f>
        <v>0.07694587112846599</v>
      </c>
      <c r="D9" s="5">
        <f>B9-C9</f>
        <v>0.0</v>
      </c>
      <c r="E9" s="5">
        <v>1E-06</v>
      </c>
      <c r="F9" s="5" t="str">
        <f>IF(ABS(D9)&lt;=E9,"OK","FAIL")</f>
        <v>OK</v>
      </c>
      <c r="G9" s="5" t="s">
        <v>340</v>
      </c>
    </row>
    <row r="10" spans="1:7">
      <c r="A10" s="5" t="s">
        <v>341</v>
      </c>
      <c r="B10" s="5">
        <f>'Assumptions'!B23</f>
        <v>0.07694587112846599</v>
      </c>
      <c r="C10" s="5">
        <f>'Assumptions'!B38</f>
        <v>0.025</v>
      </c>
      <c r="D10" s="5">
        <f>B10-C10</f>
        <v>0.051945871128465985</v>
      </c>
      <c r="E10" s="5">
        <v>0</v>
      </c>
      <c r="F10" s="5" t="str">
        <f>IF(D10&gt;E10,"OK","FAIL")</f>
        <v>OK</v>
      </c>
      <c r="G10" s="5" t="s">
        <v>342</v>
      </c>
    </row>
    <row r="11" spans="1:7">
      <c r="A11" s="5" t="s">
        <v>343</v>
      </c>
      <c r="B11" s="5">
        <f>'DCF'!B36</f>
        <v>122.91923200601002</v>
      </c>
      <c r="C11" s="5">
        <f>INDEX('Scenarios'!$H$7:$H$9,MATCH('Assumptions'!$B$5,'Scenarios'!$A$7:$A$9,0))</f>
        <v>122.91923200601002</v>
      </c>
      <c r="D11" s="5">
        <f>B11-C11</f>
        <v>0.0</v>
      </c>
      <c r="E11" s="5">
        <v>0.01</v>
      </c>
      <c r="F11" s="5" t="str">
        <f>IF(ABS(D11)&lt;=E11,"OK","FAIL")</f>
        <v>OK</v>
      </c>
      <c r="G11" s="5" t="s">
        <v>344</v>
      </c>
    </row>
    <row r="12" spans="1:7">
      <c r="A12" s="5" t="s">
        <v>345</v>
      </c>
      <c r="B12" s="5">
        <f>'Assumptions'!B9</f>
        <v>505.332519</v>
      </c>
      <c r="C12" s="5">
        <f>0</f>
        <v>0</v>
      </c>
      <c r="D12" s="5">
        <f>B12-C12</f>
        <v>505.332519</v>
      </c>
      <c r="E12" s="5">
        <v>0</v>
      </c>
      <c r="F12" s="5" t="str">
        <f>IF(D12&gt;E12,"OK","FAIL")</f>
        <v>OK</v>
      </c>
      <c r="G12" s="5" t="s">
        <v>346</v>
      </c>
    </row>
    <row r="13" spans="1:7">
      <c r="A13" s="5" t="s">
        <v>347</v>
      </c>
      <c r="B13" s="5">
        <f>'Assumptions'!B10</f>
        <v>8175.0</v>
      </c>
      <c r="C13" s="5">
        <f>0</f>
        <v>0</v>
      </c>
      <c r="D13" s="5">
        <f>B13-C13</f>
        <v>8175.0</v>
      </c>
      <c r="E13" s="5">
        <v>0</v>
      </c>
      <c r="F13" s="5" t="str">
        <f>IF(D13&gt;=E13,"OK","FAIL")</f>
        <v>OK</v>
      </c>
      <c r="G13" s="5" t="s">
        <v>348</v>
      </c>
    </row>
    <row r="14" spans="1:7">
      <c r="A14" s="5" t="s">
        <v>349</v>
      </c>
      <c r="B14" s="5">
        <f>COUNTIF('Assumptions'!A27:A29,'Assumptions'!B5)</f>
        <v>1</v>
      </c>
      <c r="C14" s="5">
        <f>1</f>
        <v>1</v>
      </c>
      <c r="D14" s="5">
        <f>B14-C14</f>
        <v>0</v>
      </c>
      <c r="E14" s="5">
        <v>0</v>
      </c>
      <c r="F14" s="5" t="str">
        <f>IF(B14=C14,"OK","FAIL")</f>
        <v>OK</v>
      </c>
      <c r="G14" s="5" t="s">
        <v>350</v>
      </c>
    </row>
    <row r="15" spans="1:7">
      <c r="A15" s="5" t="s">
        <v>351</v>
      </c>
      <c r="B15" s="5">
        <f>'Comps'!J11</f>
        <v>20.198509252912952</v>
      </c>
      <c r="C15" s="5">
        <f>0</f>
        <v>0</v>
      </c>
      <c r="D15" s="5">
        <f>B15-C15</f>
        <v>20.198509252912952</v>
      </c>
      <c r="E15" s="5">
        <v>0</v>
      </c>
      <c r="F15" s="5" t="str">
        <f>IF(D15&gt;E15,"OK","FAIL")</f>
        <v>OK</v>
      </c>
      <c r="G15" s="5" t="s">
        <v>352</v>
      </c>
    </row>
    <row r="16" spans="1:7">
      <c r="A16" s="5" t="s">
        <v>353</v>
      </c>
      <c r="B16" s="5">
        <f>'DCF'!B36</f>
        <v>122.91923200601002</v>
      </c>
      <c r="C16" s="5">
        <f>0</f>
        <v>0</v>
      </c>
      <c r="D16" s="5">
        <f>B16-C16</f>
        <v>122.91923200601002</v>
      </c>
      <c r="E16" s="5">
        <v>0</v>
      </c>
      <c r="F16" s="5" t="str">
        <f>IF(D16&gt;E16,"OK","FAIL")</f>
        <v>OK</v>
      </c>
      <c r="G16" s="5" t="s">
        <v>354</v>
      </c>
    </row>
    <row r="17" spans="1:7">
      <c r="A17" s="5" t="s">
        <v>355</v>
      </c>
      <c r="B17" s="5">
        <f>SUM('Assumptions'!B40:B41)</f>
        <v>1</v>
      </c>
      <c r="C17" s="5">
        <f>1</f>
        <v>1</v>
      </c>
      <c r="D17" s="5">
        <f>B17-C17</f>
        <v>0</v>
      </c>
      <c r="E17" s="5">
        <v>0.0001</v>
      </c>
      <c r="F17" s="5" t="str">
        <f>IF(ABS(D17)&lt;=E17,"OK","FAIL")</f>
        <v>OK</v>
      </c>
      <c r="G17" s="5" t="s">
        <v>356</v>
      </c>
    </row>
    <row r="18" spans="1:7">
      <c r="A18" s="5" t="s">
        <v>357</v>
      </c>
      <c r="B18" s="5">
        <f>'Sensitivities'!B25</f>
        <v>121.54404516996435</v>
      </c>
      <c r="C18" s="5">
        <f>'Sensitivities'!C25</f>
        <v>121.54404516996435</v>
      </c>
      <c r="D18" s="5">
        <f>B18-C18</f>
        <v>0.0</v>
      </c>
      <c r="E18" s="5">
        <v>0.01</v>
      </c>
      <c r="F18" s="5" t="str">
        <f>IF(ABS(D18)&lt;=E18,"OK","FAIL")</f>
        <v>OK</v>
      </c>
      <c r="G18" s="5" t="s">
        <v>358</v>
      </c>
    </row>
    <row r="19" spans="1:7">
      <c r="A19" s="5" t="s">
        <v>359</v>
      </c>
      <c r="B19" s="5">
        <f>IF(AND('Assumptions'!D35=9.5%,'Assumptions'!E35=9.0%,'Assumptions'!F35=8.5%,'Assumptions'!G35=8.0%,'Assumptions'!H35=8.0%),1,0)</f>
        <v>1</v>
      </c>
      <c r="C19" s="5">
        <f>1</f>
        <v>1</v>
      </c>
      <c r="D19" s="5">
        <f>B19-C19</f>
        <v>0</v>
      </c>
      <c r="E19" s="5">
        <v>0</v>
      </c>
      <c r="F19" s="5" t="str">
        <f>IF(B19=C19,"OK","FAIL")</f>
        <v>OK</v>
      </c>
      <c r="G19" s="5" t="s">
        <v>360</v>
      </c>
    </row>
    <row r="20" spans="1:7">
      <c r="A20" s="5" t="s">
        <v>361</v>
      </c>
      <c r="B20" s="5">
        <f>--('Assumptions'!A9="Voting shares used as proxy (m)")</f>
        <v>1</v>
      </c>
      <c r="C20" s="5">
        <f>1</f>
        <v>1</v>
      </c>
      <c r="D20" s="5">
        <f>B20-C20</f>
        <v>0</v>
      </c>
      <c r="E20" s="5">
        <v>0</v>
      </c>
      <c r="F20" s="5" t="str">
        <f>IF(B20=C20,"OK","FAIL")</f>
        <v>OK</v>
      </c>
      <c r="G20" s="5" t="s">
        <v>362</v>
      </c>
    </row>
    <row r="23" spans="1:7">
      <c r="A23" s="9" t="s">
        <v>363</v>
      </c>
      <c r="B23" s="9"/>
      <c r="C23" s="9"/>
      <c r="D23" s="9"/>
      <c r="E23" s="9"/>
      <c r="F23" s="9"/>
      <c r="G23" s="9"/>
    </row>
    <row r="24" spans="1:7">
      <c r="A24" s="9"/>
      <c r="B24" s="9"/>
      <c r="C24" s="9"/>
      <c r="D24" s="9"/>
      <c r="E24" s="9"/>
      <c r="F24" s="9"/>
      <c r="G24" s="9"/>
    </row>
    <row r="25" spans="1:7">
      <c r="A25" s="9"/>
      <c r="B25" s="9"/>
      <c r="C25" s="9"/>
      <c r="D25" s="9"/>
      <c r="E25" s="9"/>
      <c r="F25" s="9"/>
      <c r="G25" s="9"/>
    </row>
  </sheetData>
  <mergeCells count="4">
    <mergeCell ref="A1:G1"/>
    <mergeCell ref="A3:G3"/>
    <mergeCell ref="A5:G5"/>
    <mergeCell ref="A23:G25"/>
  </mergeCells>
  <conditionalFormatting sqref="F7:F20">
    <cfRule type="containsText" dxfId="0" priority="1" operator="containsText" text="OK">
      <formula>NOT(ISERROR(SEARCH("OK",F7)))</formula>
    </cfRule>
    <cfRule type="containsText" dxfId="1" priority="2" operator="containsText" text="FAIL">
      <formula>NOT(ISERROR(SEARCH("FAIL",F7)))</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H44"/>
  <sheetViews>
    <sheetView showGridLines="0" workbookViewId="0">
      <pane ySplit="4" topLeftCell="A5" activePane="bottomLeft" state="frozen"/>
      <selection pane="bottomLeft"/>
    </sheetView>
  </sheetViews>
  <sheetFormatPr defaultRowHeight="15"/>
  <cols>
    <col min="1" max="1" width="8.7109375" customWidth="1"/>
    <col min="2" max="2" width="27.7109375" customWidth="1"/>
    <col min="3" max="3" width="34.7109375" customWidth="1"/>
    <col min="4" max="4" width="18.7109375" customWidth="1"/>
    <col min="5" max="5" width="40.7109375" customWidth="1"/>
    <col min="6" max="6" width="26.7109375" customWidth="1"/>
    <col min="7" max="7" width="70.7109375" customWidth="1"/>
    <col min="8" max="8" width="34.7109375" customWidth="1"/>
  </cols>
  <sheetData>
    <row r="1" spans="1:8" ht="28" customHeight="1">
      <c r="A1" s="1" t="s">
        <v>364</v>
      </c>
      <c r="B1" s="1"/>
      <c r="C1" s="1"/>
      <c r="D1" s="1"/>
      <c r="E1" s="1"/>
      <c r="F1" s="1"/>
      <c r="G1" s="1"/>
      <c r="H1" s="1"/>
    </row>
    <row r="3" spans="1:8">
      <c r="A3" s="2" t="s">
        <v>365</v>
      </c>
      <c r="B3" s="2"/>
      <c r="C3" s="2"/>
      <c r="D3" s="2"/>
      <c r="E3" s="2"/>
      <c r="F3" s="2"/>
      <c r="G3" s="2"/>
      <c r="H3" s="2"/>
    </row>
    <row r="5" spans="1:8" ht="20" customHeight="1">
      <c r="A5" s="3" t="s">
        <v>366</v>
      </c>
      <c r="B5" s="3"/>
      <c r="C5" s="3"/>
      <c r="D5" s="3"/>
      <c r="E5" s="3"/>
      <c r="F5" s="3"/>
      <c r="G5" s="3"/>
      <c r="H5" s="3"/>
    </row>
    <row r="6" spans="1:8">
      <c r="A6" s="4" t="s">
        <v>367</v>
      </c>
      <c r="B6" s="4" t="s">
        <v>368</v>
      </c>
      <c r="C6" s="4" t="s">
        <v>369</v>
      </c>
      <c r="D6" s="4" t="s">
        <v>370</v>
      </c>
      <c r="E6" s="4" t="s">
        <v>371</v>
      </c>
      <c r="F6" s="4" t="s">
        <v>372</v>
      </c>
      <c r="G6" s="4" t="s">
        <v>373</v>
      </c>
      <c r="H6" s="4" t="s">
        <v>374</v>
      </c>
    </row>
    <row r="7" spans="1:8" ht="75" customHeight="1">
      <c r="A7" s="9" t="s">
        <v>107</v>
      </c>
      <c r="B7" s="9" t="s">
        <v>375</v>
      </c>
      <c r="C7" s="9" t="s">
        <v>376</v>
      </c>
      <c r="D7" s="9" t="s">
        <v>377</v>
      </c>
      <c r="E7" s="9" t="s">
        <v>378</v>
      </c>
      <c r="F7" s="9" t="s">
        <v>172</v>
      </c>
      <c r="G7" s="9" t="s">
        <v>379</v>
      </c>
      <c r="H7" s="9" t="s">
        <v>380</v>
      </c>
    </row>
    <row r="8" spans="1:8" ht="75" customHeight="1">
      <c r="A8" s="9" t="s">
        <v>381</v>
      </c>
      <c r="B8" s="9" t="s">
        <v>382</v>
      </c>
      <c r="C8" s="9" t="s">
        <v>383</v>
      </c>
      <c r="D8" s="9" t="s">
        <v>377</v>
      </c>
      <c r="E8" s="9" t="s">
        <v>378</v>
      </c>
      <c r="F8" s="9" t="s">
        <v>172</v>
      </c>
      <c r="G8" s="9" t="s">
        <v>384</v>
      </c>
      <c r="H8" s="9" t="s">
        <v>385</v>
      </c>
    </row>
    <row r="9" spans="1:8" ht="75" customHeight="1">
      <c r="A9" s="9" t="s">
        <v>386</v>
      </c>
      <c r="B9" s="9" t="s">
        <v>387</v>
      </c>
      <c r="C9" s="9" t="s">
        <v>388</v>
      </c>
      <c r="D9" s="9" t="s">
        <v>389</v>
      </c>
      <c r="E9" s="9" t="s">
        <v>390</v>
      </c>
      <c r="F9" s="9" t="s">
        <v>391</v>
      </c>
      <c r="G9" s="9" t="s">
        <v>392</v>
      </c>
      <c r="H9" s="9" t="s">
        <v>393</v>
      </c>
    </row>
    <row r="10" spans="1:8" ht="75" customHeight="1">
      <c r="A10" s="9" t="s">
        <v>394</v>
      </c>
      <c r="B10" s="9" t="s">
        <v>395</v>
      </c>
      <c r="C10" s="9" t="s">
        <v>396</v>
      </c>
      <c r="D10" s="9" t="s">
        <v>397</v>
      </c>
      <c r="E10" s="9" t="s">
        <v>398</v>
      </c>
      <c r="F10" s="9" t="s">
        <v>175</v>
      </c>
      <c r="G10" s="9" t="s">
        <v>399</v>
      </c>
      <c r="H10" s="9" t="s">
        <v>400</v>
      </c>
    </row>
    <row r="11" spans="1:8" ht="75" customHeight="1">
      <c r="A11" s="9" t="s">
        <v>401</v>
      </c>
      <c r="B11" s="9" t="s">
        <v>402</v>
      </c>
      <c r="C11" s="9" t="s">
        <v>403</v>
      </c>
      <c r="D11" s="9" t="s">
        <v>397</v>
      </c>
      <c r="E11" s="9" t="s">
        <v>398</v>
      </c>
      <c r="F11" s="9" t="s">
        <v>177</v>
      </c>
      <c r="G11" s="9" t="s">
        <v>404</v>
      </c>
      <c r="H11" s="9" t="s">
        <v>405</v>
      </c>
    </row>
    <row r="12" spans="1:8" ht="75" customHeight="1">
      <c r="A12" s="9" t="s">
        <v>406</v>
      </c>
      <c r="B12" s="9" t="s">
        <v>407</v>
      </c>
      <c r="C12" s="9" t="s">
        <v>408</v>
      </c>
      <c r="D12" s="9" t="s">
        <v>397</v>
      </c>
      <c r="E12" s="9" t="s">
        <v>398</v>
      </c>
      <c r="F12" s="9" t="s">
        <v>178</v>
      </c>
      <c r="G12" s="9" t="s">
        <v>409</v>
      </c>
      <c r="H12" s="9" t="s">
        <v>400</v>
      </c>
    </row>
    <row r="13" spans="1:8" ht="75" customHeight="1">
      <c r="A13" s="9" t="s">
        <v>410</v>
      </c>
      <c r="B13" s="9" t="s">
        <v>411</v>
      </c>
      <c r="C13" s="9" t="s">
        <v>412</v>
      </c>
      <c r="D13" s="9" t="s">
        <v>413</v>
      </c>
      <c r="E13" s="9" t="s">
        <v>21</v>
      </c>
      <c r="F13" s="9" t="s">
        <v>414</v>
      </c>
      <c r="G13" s="9" t="s">
        <v>415</v>
      </c>
      <c r="H13" s="9" t="s">
        <v>416</v>
      </c>
    </row>
    <row r="14" spans="1:8" ht="75" customHeight="1">
      <c r="A14" s="9" t="s">
        <v>417</v>
      </c>
      <c r="B14" s="9" t="s">
        <v>418</v>
      </c>
      <c r="C14" s="9" t="s">
        <v>419</v>
      </c>
      <c r="D14" s="9" t="s">
        <v>413</v>
      </c>
      <c r="E14" s="9" t="s">
        <v>21</v>
      </c>
      <c r="F14" s="9" t="s">
        <v>420</v>
      </c>
      <c r="G14" s="9" t="s">
        <v>421</v>
      </c>
      <c r="H14" s="9" t="s">
        <v>416</v>
      </c>
    </row>
    <row r="15" spans="1:8" ht="75" customHeight="1">
      <c r="A15" s="9" t="s">
        <v>422</v>
      </c>
      <c r="B15" s="9" t="s">
        <v>423</v>
      </c>
      <c r="C15" s="9" t="s">
        <v>424</v>
      </c>
      <c r="D15" s="9" t="s">
        <v>413</v>
      </c>
      <c r="E15" s="9" t="s">
        <v>21</v>
      </c>
      <c r="F15" s="9" t="s">
        <v>420</v>
      </c>
      <c r="G15" s="9" t="s">
        <v>425</v>
      </c>
      <c r="H15" s="9" t="s">
        <v>416</v>
      </c>
    </row>
    <row r="16" spans="1:8" ht="75" customHeight="1">
      <c r="A16" s="9" t="s">
        <v>129</v>
      </c>
      <c r="B16" s="9" t="s">
        <v>426</v>
      </c>
      <c r="C16" s="9" t="s">
        <v>427</v>
      </c>
      <c r="D16" s="9" t="s">
        <v>428</v>
      </c>
      <c r="E16" s="9" t="s">
        <v>21</v>
      </c>
      <c r="F16" s="9" t="s">
        <v>429</v>
      </c>
      <c r="G16" s="9" t="s">
        <v>430</v>
      </c>
      <c r="H16" s="9" t="s">
        <v>431</v>
      </c>
    </row>
    <row r="17" spans="1:8" ht="75" customHeight="1">
      <c r="A17" s="9" t="s">
        <v>432</v>
      </c>
      <c r="B17" s="9" t="s">
        <v>433</v>
      </c>
      <c r="C17" s="9" t="s">
        <v>434</v>
      </c>
      <c r="D17" s="9" t="s">
        <v>435</v>
      </c>
      <c r="E17" s="9" t="s">
        <v>436</v>
      </c>
      <c r="F17" s="9" t="s">
        <v>437</v>
      </c>
      <c r="G17" s="9" t="s">
        <v>438</v>
      </c>
      <c r="H17" s="9" t="s">
        <v>439</v>
      </c>
    </row>
    <row r="18" spans="1:8" ht="75" customHeight="1">
      <c r="A18" s="9" t="s">
        <v>440</v>
      </c>
      <c r="B18" s="9" t="s">
        <v>441</v>
      </c>
      <c r="C18" s="9" t="s">
        <v>442</v>
      </c>
      <c r="D18" s="9" t="s">
        <v>443</v>
      </c>
      <c r="E18" s="9" t="s">
        <v>444</v>
      </c>
      <c r="F18" s="9" t="s">
        <v>391</v>
      </c>
      <c r="G18" s="9" t="s">
        <v>445</v>
      </c>
      <c r="H18" s="9" t="s">
        <v>446</v>
      </c>
    </row>
    <row r="20" spans="1:8" ht="20" customHeight="1">
      <c r="A20" s="3" t="s">
        <v>447</v>
      </c>
      <c r="B20" s="3"/>
      <c r="C20" s="3"/>
      <c r="D20" s="3"/>
      <c r="E20" s="3"/>
      <c r="F20" s="3"/>
      <c r="G20" s="3"/>
      <c r="H20" s="3"/>
    </row>
    <row r="21" spans="1:8">
      <c r="A21" s="4" t="s">
        <v>448</v>
      </c>
      <c r="B21" s="4" t="s">
        <v>449</v>
      </c>
      <c r="C21" s="4" t="s">
        <v>450</v>
      </c>
      <c r="D21" s="4" t="s">
        <v>100</v>
      </c>
      <c r="E21" s="4" t="s">
        <v>451</v>
      </c>
      <c r="F21" s="4" t="s">
        <v>452</v>
      </c>
      <c r="G21" s="4" t="s">
        <v>453</v>
      </c>
      <c r="H21" s="4" t="s">
        <v>454</v>
      </c>
    </row>
    <row r="22" spans="1:8" ht="86" customHeight="1">
      <c r="A22" s="9" t="s">
        <v>455</v>
      </c>
      <c r="B22" s="9" t="s">
        <v>456</v>
      </c>
      <c r="C22" s="9" t="s">
        <v>457</v>
      </c>
      <c r="D22" s="9" t="s">
        <v>458</v>
      </c>
      <c r="E22" s="9" t="s">
        <v>459</v>
      </c>
      <c r="F22" s="9" t="s">
        <v>460</v>
      </c>
      <c r="G22" s="9" t="s">
        <v>461</v>
      </c>
      <c r="H22" s="9" t="s">
        <v>462</v>
      </c>
    </row>
    <row r="23" spans="1:8" ht="86" customHeight="1">
      <c r="A23" s="9" t="s">
        <v>463</v>
      </c>
      <c r="B23" s="9" t="s">
        <v>464</v>
      </c>
      <c r="C23" s="9" t="s">
        <v>465</v>
      </c>
      <c r="D23" s="9" t="s">
        <v>466</v>
      </c>
      <c r="E23" s="9" t="s">
        <v>467</v>
      </c>
      <c r="F23" s="9" t="s">
        <v>468</v>
      </c>
      <c r="G23" s="9" t="s">
        <v>469</v>
      </c>
      <c r="H23" s="9" t="s">
        <v>470</v>
      </c>
    </row>
    <row r="24" spans="1:8" ht="86" customHeight="1">
      <c r="A24" s="9" t="s">
        <v>471</v>
      </c>
      <c r="B24" s="9" t="s">
        <v>472</v>
      </c>
      <c r="C24" s="9" t="s">
        <v>473</v>
      </c>
      <c r="D24" s="9" t="s">
        <v>107</v>
      </c>
      <c r="E24" s="9" t="s">
        <v>474</v>
      </c>
      <c r="F24" s="9" t="s">
        <v>475</v>
      </c>
      <c r="G24" s="9" t="s">
        <v>476</v>
      </c>
      <c r="H24" s="9" t="s">
        <v>477</v>
      </c>
    </row>
    <row r="25" spans="1:8" ht="86" customHeight="1">
      <c r="A25" s="9" t="s">
        <v>478</v>
      </c>
      <c r="B25" s="9" t="s">
        <v>479</v>
      </c>
      <c r="C25" s="9" t="s">
        <v>480</v>
      </c>
      <c r="D25" s="9" t="s">
        <v>107</v>
      </c>
      <c r="E25" s="9" t="s">
        <v>481</v>
      </c>
      <c r="F25" s="9" t="s">
        <v>482</v>
      </c>
      <c r="G25" s="9" t="s">
        <v>483</v>
      </c>
      <c r="H25" s="9" t="s">
        <v>484</v>
      </c>
    </row>
    <row r="26" spans="1:8" ht="86" customHeight="1">
      <c r="A26" s="9" t="s">
        <v>485</v>
      </c>
      <c r="B26" s="9" t="s">
        <v>486</v>
      </c>
      <c r="C26" s="9" t="s">
        <v>487</v>
      </c>
      <c r="D26" s="9" t="s">
        <v>440</v>
      </c>
      <c r="E26" s="9" t="s">
        <v>446</v>
      </c>
      <c r="F26" s="9" t="s">
        <v>488</v>
      </c>
      <c r="G26" s="9" t="s">
        <v>489</v>
      </c>
      <c r="H26" s="9" t="s">
        <v>490</v>
      </c>
    </row>
    <row r="27" spans="1:8" ht="86" customHeight="1">
      <c r="A27" s="9" t="s">
        <v>491</v>
      </c>
      <c r="B27" s="9" t="s">
        <v>492</v>
      </c>
      <c r="C27" s="9" t="s">
        <v>493</v>
      </c>
      <c r="D27" s="9" t="s">
        <v>386</v>
      </c>
      <c r="E27" s="9" t="s">
        <v>494</v>
      </c>
      <c r="F27" s="9" t="s">
        <v>495</v>
      </c>
      <c r="G27" s="9" t="s">
        <v>496</v>
      </c>
      <c r="H27" s="9" t="s">
        <v>497</v>
      </c>
    </row>
    <row r="28" spans="1:8" ht="86" customHeight="1">
      <c r="A28" s="9" t="s">
        <v>498</v>
      </c>
      <c r="B28" s="9" t="s">
        <v>499</v>
      </c>
      <c r="C28" s="9" t="s">
        <v>500</v>
      </c>
      <c r="D28" s="9" t="s">
        <v>386</v>
      </c>
      <c r="E28" s="9" t="s">
        <v>501</v>
      </c>
      <c r="F28" s="9" t="s">
        <v>502</v>
      </c>
      <c r="G28" s="9" t="s">
        <v>503</v>
      </c>
      <c r="H28" s="9" t="s">
        <v>504</v>
      </c>
    </row>
    <row r="29" spans="1:8" ht="86" customHeight="1">
      <c r="A29" s="9" t="s">
        <v>505</v>
      </c>
      <c r="B29" s="9" t="s">
        <v>506</v>
      </c>
      <c r="C29" s="9" t="s">
        <v>507</v>
      </c>
      <c r="D29" s="9" t="s">
        <v>508</v>
      </c>
      <c r="E29" s="9" t="s">
        <v>509</v>
      </c>
      <c r="F29" s="9" t="s">
        <v>433</v>
      </c>
      <c r="G29" s="9" t="s">
        <v>510</v>
      </c>
      <c r="H29" s="9" t="s">
        <v>511</v>
      </c>
    </row>
    <row r="30" spans="1:8" ht="86" customHeight="1">
      <c r="A30" s="9" t="s">
        <v>512</v>
      </c>
      <c r="B30" s="9" t="s">
        <v>513</v>
      </c>
      <c r="C30" s="9" t="s">
        <v>514</v>
      </c>
      <c r="D30" s="9" t="s">
        <v>515</v>
      </c>
      <c r="E30" s="9" t="s">
        <v>516</v>
      </c>
      <c r="F30" s="9" t="s">
        <v>517</v>
      </c>
      <c r="G30" s="9" t="s">
        <v>518</v>
      </c>
      <c r="H30" s="9" t="s">
        <v>519</v>
      </c>
    </row>
    <row r="31" spans="1:8" ht="86" customHeight="1">
      <c r="A31" s="9" t="s">
        <v>520</v>
      </c>
      <c r="B31" s="9" t="s">
        <v>521</v>
      </c>
      <c r="C31" s="9" t="s">
        <v>522</v>
      </c>
      <c r="D31" s="9" t="s">
        <v>515</v>
      </c>
      <c r="E31" s="9" t="s">
        <v>523</v>
      </c>
      <c r="F31" s="9" t="s">
        <v>524</v>
      </c>
      <c r="G31" s="9" t="s">
        <v>525</v>
      </c>
      <c r="H31" s="9" t="s">
        <v>526</v>
      </c>
    </row>
    <row r="32" spans="1:8" ht="86" customHeight="1">
      <c r="A32" s="9" t="s">
        <v>527</v>
      </c>
      <c r="B32" s="9" t="s">
        <v>528</v>
      </c>
      <c r="C32" s="9" t="s">
        <v>529</v>
      </c>
      <c r="D32" s="9" t="s">
        <v>530</v>
      </c>
      <c r="E32" s="9" t="s">
        <v>531</v>
      </c>
      <c r="F32" s="9" t="s">
        <v>532</v>
      </c>
      <c r="G32" s="9" t="s">
        <v>533</v>
      </c>
      <c r="H32" s="9" t="s">
        <v>534</v>
      </c>
    </row>
    <row r="33" spans="1:8" ht="86" customHeight="1">
      <c r="A33" s="9" t="s">
        <v>535</v>
      </c>
      <c r="B33" s="9" t="s">
        <v>536</v>
      </c>
      <c r="C33" s="9" t="s">
        <v>537</v>
      </c>
      <c r="D33" s="9" t="s">
        <v>515</v>
      </c>
      <c r="E33" s="9" t="s">
        <v>516</v>
      </c>
      <c r="F33" s="9" t="s">
        <v>538</v>
      </c>
      <c r="G33" s="9" t="s">
        <v>539</v>
      </c>
      <c r="H33" s="9" t="s">
        <v>540</v>
      </c>
    </row>
    <row r="34" spans="1:8" ht="86" customHeight="1">
      <c r="A34" s="9" t="s">
        <v>541</v>
      </c>
      <c r="B34" s="9" t="s">
        <v>542</v>
      </c>
      <c r="C34" s="9" t="s">
        <v>543</v>
      </c>
      <c r="D34" s="9" t="s">
        <v>544</v>
      </c>
      <c r="E34" s="9" t="s">
        <v>545</v>
      </c>
      <c r="F34" s="9" t="s">
        <v>546</v>
      </c>
      <c r="G34" s="9" t="s">
        <v>547</v>
      </c>
      <c r="H34" s="9" t="s">
        <v>548</v>
      </c>
    </row>
    <row r="35" spans="1:8" ht="86" customHeight="1">
      <c r="A35" s="9" t="s">
        <v>549</v>
      </c>
      <c r="B35" s="9" t="s">
        <v>550</v>
      </c>
      <c r="C35" s="9" t="s">
        <v>551</v>
      </c>
      <c r="D35" s="9" t="s">
        <v>432</v>
      </c>
      <c r="E35" s="9" t="s">
        <v>552</v>
      </c>
      <c r="F35" s="9" t="s">
        <v>553</v>
      </c>
      <c r="G35" s="9" t="s">
        <v>554</v>
      </c>
      <c r="H35" s="9" t="s">
        <v>555</v>
      </c>
    </row>
    <row r="36" spans="1:8" ht="86" customHeight="1">
      <c r="A36" s="9" t="s">
        <v>556</v>
      </c>
      <c r="B36" s="9" t="s">
        <v>557</v>
      </c>
      <c r="C36" s="9" t="s">
        <v>558</v>
      </c>
      <c r="D36" s="9" t="s">
        <v>394</v>
      </c>
      <c r="E36" s="9" t="s">
        <v>559</v>
      </c>
      <c r="F36" s="9" t="s">
        <v>560</v>
      </c>
      <c r="G36" s="9" t="s">
        <v>561</v>
      </c>
      <c r="H36" s="9" t="s">
        <v>562</v>
      </c>
    </row>
    <row r="37" spans="1:8" ht="86" customHeight="1">
      <c r="A37" s="9" t="s">
        <v>563</v>
      </c>
      <c r="B37" s="9" t="s">
        <v>564</v>
      </c>
      <c r="C37" s="9" t="s">
        <v>565</v>
      </c>
      <c r="D37" s="9" t="s">
        <v>394</v>
      </c>
      <c r="E37" s="9" t="s">
        <v>566</v>
      </c>
      <c r="F37" s="9" t="s">
        <v>567</v>
      </c>
      <c r="G37" s="9" t="s">
        <v>568</v>
      </c>
      <c r="H37" s="9" t="s">
        <v>569</v>
      </c>
    </row>
    <row r="38" spans="1:8" ht="86" customHeight="1">
      <c r="A38" s="9" t="s">
        <v>570</v>
      </c>
      <c r="B38" s="9" t="s">
        <v>571</v>
      </c>
      <c r="C38" s="9" t="s">
        <v>572</v>
      </c>
      <c r="D38" s="9" t="s">
        <v>401</v>
      </c>
      <c r="E38" s="9" t="s">
        <v>573</v>
      </c>
      <c r="F38" s="9" t="s">
        <v>574</v>
      </c>
      <c r="G38" s="9" t="s">
        <v>575</v>
      </c>
      <c r="H38" s="9" t="s">
        <v>576</v>
      </c>
    </row>
    <row r="39" spans="1:8" ht="86" customHeight="1">
      <c r="A39" s="9" t="s">
        <v>577</v>
      </c>
      <c r="B39" s="9" t="s">
        <v>578</v>
      </c>
      <c r="C39" s="9" t="s">
        <v>579</v>
      </c>
      <c r="D39" s="9" t="s">
        <v>580</v>
      </c>
      <c r="E39" s="9" t="s">
        <v>581</v>
      </c>
      <c r="F39" s="9" t="s">
        <v>582</v>
      </c>
      <c r="G39" s="9" t="s">
        <v>583</v>
      </c>
      <c r="H39" s="9" t="s">
        <v>584</v>
      </c>
    </row>
    <row r="40" spans="1:8" ht="86" customHeight="1">
      <c r="A40" s="9" t="s">
        <v>585</v>
      </c>
      <c r="B40" s="9" t="s">
        <v>586</v>
      </c>
      <c r="C40" s="9" t="s">
        <v>587</v>
      </c>
      <c r="D40" s="9" t="s">
        <v>406</v>
      </c>
      <c r="E40" s="9" t="s">
        <v>588</v>
      </c>
      <c r="F40" s="9" t="s">
        <v>589</v>
      </c>
      <c r="G40" s="9" t="s">
        <v>590</v>
      </c>
      <c r="H40" s="9" t="s">
        <v>591</v>
      </c>
    </row>
    <row r="41" spans="1:8" ht="86" customHeight="1">
      <c r="A41" s="9" t="s">
        <v>592</v>
      </c>
      <c r="B41" s="9" t="s">
        <v>593</v>
      </c>
      <c r="C41" s="9" t="s">
        <v>594</v>
      </c>
      <c r="D41" s="9" t="s">
        <v>595</v>
      </c>
      <c r="E41" s="9" t="s">
        <v>596</v>
      </c>
      <c r="F41" s="9" t="s">
        <v>582</v>
      </c>
      <c r="G41" s="9" t="s">
        <v>597</v>
      </c>
      <c r="H41" s="9" t="s">
        <v>598</v>
      </c>
    </row>
    <row r="42" spans="1:8" ht="86" customHeight="1">
      <c r="A42" s="9" t="s">
        <v>599</v>
      </c>
      <c r="B42" s="9" t="s">
        <v>600</v>
      </c>
      <c r="C42" s="9" t="s">
        <v>601</v>
      </c>
      <c r="D42" s="9" t="s">
        <v>602</v>
      </c>
      <c r="E42" s="9" t="s">
        <v>603</v>
      </c>
      <c r="F42" s="9" t="s">
        <v>604</v>
      </c>
      <c r="G42" s="9" t="s">
        <v>605</v>
      </c>
      <c r="H42" s="9" t="s">
        <v>606</v>
      </c>
    </row>
    <row r="43" spans="1:8" ht="86" customHeight="1">
      <c r="A43" s="9" t="s">
        <v>607</v>
      </c>
      <c r="B43" s="9" t="s">
        <v>608</v>
      </c>
      <c r="C43" s="9" t="s">
        <v>609</v>
      </c>
      <c r="D43" s="9" t="s">
        <v>610</v>
      </c>
      <c r="E43" s="9" t="s">
        <v>611</v>
      </c>
      <c r="F43" s="9" t="s">
        <v>612</v>
      </c>
      <c r="G43" s="9" t="s">
        <v>613</v>
      </c>
      <c r="H43" s="9" t="s">
        <v>614</v>
      </c>
    </row>
    <row r="44" spans="1:8" ht="86" customHeight="1">
      <c r="A44" s="9" t="s">
        <v>615</v>
      </c>
      <c r="B44" s="9" t="s">
        <v>616</v>
      </c>
      <c r="C44" s="9" t="s">
        <v>617</v>
      </c>
      <c r="D44" s="9" t="s">
        <v>432</v>
      </c>
      <c r="E44" s="9" t="s">
        <v>618</v>
      </c>
      <c r="F44" s="9" t="s">
        <v>619</v>
      </c>
      <c r="G44" s="9" t="s">
        <v>620</v>
      </c>
      <c r="H44" s="9" t="s">
        <v>621</v>
      </c>
    </row>
  </sheetData>
  <mergeCells count="4">
    <mergeCell ref="A1:H1"/>
    <mergeCell ref="A3:H3"/>
    <mergeCell ref="A5:H5"/>
    <mergeCell ref="A20:H20"/>
  </mergeCells>
  <hyperlinks>
    <hyperlink ref="G7" r:id="rId1"/>
    <hyperlink ref="G8" r:id="rId2"/>
    <hyperlink ref="G9" r:id="rId3"/>
    <hyperlink ref="G10" r:id="rId4"/>
    <hyperlink ref="G11" r:id="rId5"/>
    <hyperlink ref="G12" r:id="rId6"/>
    <hyperlink ref="G13" r:id="rId7"/>
    <hyperlink ref="G14" r:id="rId8"/>
    <hyperlink ref="G15" r:id="rId9"/>
    <hyperlink ref="G16" r:id="rId10"/>
    <hyperlink ref="G18" r:id="rId1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Cover</vt:lpstr>
      <vt:lpstr>Assumptions</vt:lpstr>
      <vt:lpstr>Historical</vt:lpstr>
      <vt:lpstr>DCF</vt:lpstr>
      <vt:lpstr>Comps</vt:lpstr>
      <vt:lpstr>Scenarios</vt:lpstr>
      <vt:lpstr>Sensitivities</vt:lpstr>
      <vt:lpstr>AI Review</vt:lpstr>
      <vt:lpstr>Critical Review</vt:lpstr>
      <vt:lpstr>Checks</vt:lpstr>
      <vt:lpstr>Sources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LSEG Corporate Valuation 2025</dc:title>
  <dc:subject>AI-Supported Valuation and Corporate Finance Decision-Making</dc:subject>
  <dc:creator>David</dc:creator>
  <dc:description>Python-only formula-driven valuation model</dc:description>
  <cp:lastModifiedBy>David</cp:lastModifiedBy>
  <dcterms:created xsi:type="dcterms:W3CDTF">2026-09-19T07:07:03Z</dcterms:created>
  <dcterms:modified xsi:type="dcterms:W3CDTF">2026-09-19T07:07:03Z</dcterms:modified>
</cp:coreProperties>
</file>